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Аркуш аудиту (Тест-аналітик)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<sst xmlns="http://schemas.openxmlformats.org/spreadsheetml/2006/main" count="61" uniqueCount="45">
  <si>
    <t xml:space="preserve">Персональний аркуш аудиту вимог SRS v1.0 «ФінКит»</t>
  </si>
  <si>
    <t xml:space="preserve">Команда: BMIBM-banking | Аудитор: [ПІБ] (Тест-аналітик) | Закріплені розділи: F, GUI, BL</t>
  </si>
  <si>
    <t xml:space="preserve">SRS_02_ФінКит.html (v1.0)</t>
  </si>
  <si>
    <t xml:space="preserve">ЗНАЙДЕНО ДЕФЕКТІВ</t>
  </si>
  <si>
    <t xml:space="preserve">КРИТЕРІЇВ ЯКОСТІ ПОКРИТО</t>
  </si>
  <si>
    <t xml:space="preserve">ВХІДНИЙ ДОКУМЕНТ АУДИТУ (РОЗДІЛИ F, GUI, BL)</t>
  </si>
  <si>
    <t xml:space="preserve">№</t>
  </si>
  <si>
    <t xml:space="preserve">ID вимоги</t>
  </si>
  <si>
    <t xml:space="preserve">Критерій якості</t>
  </si>
  <si>
    <t xml:space="preserve">Опис дефекту (цитата вимоги + порушення чек-листа)</t>
  </si>
  <si>
    <t xml:space="preserve">Пропозиція виправлення</t>
  </si>
  <si>
    <t xml:space="preserve">Хто знайшов</t>
  </si>
  <si>
    <t xml:space="preserve">Статус</t>
  </si>
  <si>
    <t xml:space="preserve">F-80</t>
  </si>
  <si>
    <t xml:space="preserve">Здійсненність (п. 1)</t>
  </si>
  <si>
    <t xml:space="preserve">Цитата: «Перед відправленням система перевіряє наявність одержувача в реєстрах усіх банків світу та його платоспроможність, після чого списує суму…».
Порушення (п. 1): Вимога технічно та юридично нездійсненна. Єдиного реєстру банків і рахунків «усього світу» не існує, а платоспроможність фізичної особи — конфіденційні дані, до яких вебзастосунок доступу не має. Реалізувати і перевірити таку вимогу неможливо.</t>
  </si>
  <si>
    <t xml:space="preserve">«Перед відправленням система перевіряє, що номер рахунку одержувача відповідає формату BL-50 і збігається з полем «Підтвердження номера рахунку», що він не збігається з рахунком списання, а сума не перевищує доступну суму рахунку. Перевірка в зовнішніх реєстрах не виконується.»</t>
  </si>
  <si>
    <t xml:space="preserve">Пономаренко Р. В.</t>
  </si>
  <si>
    <t xml:space="preserve">Прийнято</t>
  </si>
  <si>
    <t xml:space="preserve">BL-60</t>
  </si>
  <si>
    <t xml:space="preserve">Цитата: «Перед перевіркою формату модуль підтверджує існування рахунку-одержувача в реєстрі Національного банку в режимі реального часу; при цьому модуль не використовує мережевих з'єднань і не має зовнішніх залежностей».
Порушення (п. 1): Вимога виконати неможливо: перевірка в реєстрі НБУ в режимі реального часу потребує мережевого з'єднання, яке цією ж вимогою (та п. 2.2) заборонене. Модульні тести JUnit 5 її перевірити не можуть.</t>
  </si>
  <si>
    <t xml:space="preserve">Вилучити BL-60 з вимог до модуля (з фіксацією у журналі змін, без зсуву ID): «Модуль перевіряє лише формат IBAN за BL-50. Перевірка існування рахунку-одержувача виконується на рівні застосунку й до обсягу модуля не входить.»</t>
  </si>
  <si>
    <t xml:space="preserve">F-110 / BL-30</t>
  </si>
  <si>
    <t xml:space="preserve">Несуперечливість (п. 2)</t>
  </si>
  <si>
    <t xml:space="preserve">Цитата F-110: «Мінімальна сума кредиту — 500 грн».
Цитата BL-30: «…приймають лише P у межах 1 000..1 000 000 грн… для будь-якого значення поза межами метод кидає IllegalArgumentException».
Порушення (п. 2): Заявка на суму 500–999 грн дозволена за F-110, але модуль відхилить її винятком. Мінімальні межі суми кредиту не збігаються.</t>
  </si>
  <si>
    <t xml:space="preserve">Узгодити F-110 з BL-30: «Сума кредиту — від 1 000 до 1 000 000 грн (включно). За суми поза цим діапазоном система показує повідомлення «Сума кредиту має бути від 1 000 до 1 000 000 грн» і заявку не подає.»</t>
  </si>
  <si>
    <t xml:space="preserve">GUI-40</t>
  </si>
  <si>
    <t xml:space="preserve">Простежуваність (п. 1)</t>
  </si>
  <si>
    <t xml:space="preserve">Цитата: GUI-40 — «Після входу ліва колонка містить привітання «Вітаємо, &lt;Ім'я Прізвище&gt;» і меню кабінету…» та GUI-40 — «Форма відкриття рахунку містить список «Тип рахунку»…».
Порушення (п. 1): Один ідентифікатор присвоєно двом різним вимогам. Посилання на GUI-40 у тест-кейсах і матриці простежуваності неоднозначне.</t>
  </si>
  <si>
    <t xml:space="preserve">Залишити GUI-40 за вимогою про меню кабінету, а форму відкриття рахунку позначити GUI-45 (проміжний ID, без перенумерації інших вимог) із записом у журналі змін.</t>
  </si>
  <si>
    <t xml:space="preserve">F-110</t>
  </si>
  <si>
    <t xml:space="preserve">Повнота (п. 3)</t>
  </si>
  <si>
    <t xml:space="preserve">Цитата: «Клієнт вводить суму кредиту та перший внесок, обирає рахунок для списання внеску і подає заявку. Система показує рішення… «Схвалено»… або «Відхилено» з поясненням причини».
Порушення (п. 3): Для обчислення платежу за BL-10 потрібні строк n і ставка r, але у формі їх немає. Не визначено правила рішення та перелік причин відмови (п. 2.3.5 виносить параметри за межі документа), а також реакцію на недостатню суму для першого внеску.</t>
  </si>
  <si>
    <t xml:space="preserve">Додати у форму поля «Строк, міс.» (3..60) і «Річна ставка, %» (5..40); виводити щомісячний платіж за BL-10. Визначити закритий перелік причин відмови (напр., «Недостатньо коштів для першого внеску», «Не пройдено поріг кредитного рішення») і правило схвалення з параметрами адміністратора.</t>
  </si>
  <si>
    <t xml:space="preserve">BL-70</t>
  </si>
  <si>
    <t xml:space="preserve">Цитата: «withdraw(amount) — зменшує; сума кожної операції має бути додатною: для нульової або від'ємної суми метод кидає IllegalArgumentException…».
Порушення (п. 3): Не описано поведінку withdraw для суми, більшої за поточний баланс. Термін «Овердрафт» визначено в п. 1.3, але жодна вимога його не забороняє і не дозволяє; можливий від'ємний баланс, що суперечить INSUFFICIENT_FUNDS у BL-40.</t>
  </si>
  <si>
    <t xml:space="preserve">Додати: «Якщо amount більше за поточний баланс, withdraw(amount) кидає IllegalStateException, а баланс не змінюється; овердрафт не допускається.»</t>
  </si>
  <si>
    <t xml:space="preserve">GUI-50</t>
  </si>
  <si>
    <t xml:space="preserve">Однозначність (п. 1, 4)</t>
  </si>
  <si>
    <t xml:space="preserve">Цитата: «Якщо суму у формі переказу або оплати рахунку введено некоректно, система показує відповідне повідомлення помітним кольором».
Порушення (п. 1, 4): Не визначено, що вважається «некоректною» сумою, текст «відповідного повідомлення» та колір («помітним»). Різні виконавці й тестувальники трактуватимуть вимогу по-різному.</t>
  </si>
  <si>
    <t xml:space="preserve">«Якщо сума порожня, не є числом, не більша за 0 або має понад 2 знаки після коми, під полем «Сума» червоним кольором (#FF0000) показується повідомлення «Введіть коректну суму, більшу за 0».»</t>
  </si>
  <si>
    <t xml:space="preserve">BL-80</t>
  </si>
  <si>
    <t xml:space="preserve">Тестопридатність (п. 1)</t>
  </si>
  <si>
    <t xml:space="preserve">Цитата: «Клас AccountLedger має працювати без помилок за будь-яких вхідних даних і в будь-яких умовах експлуатації».
Порушення (п. 1): Вимога нетестопридатна: неможливо побудувати скінченний набір тестів для «будь-яких» даних і умов. Крім того, вона суперечить BL-70, за яким метод свідомо кидає виняток.</t>
  </si>
  <si>
    <t xml:space="preserve">Замінити на спостережувані правила: «deposit/withdraw з null-аргументом кидають NullPointerException; суми з понад двома знаками після коми округлюються HALF_UP до копійок; balance() не змінює стан рахунку». Або вилучити вимогу.</t>
  </si>
</sst>
</file>

<file path=xl/styles.xml><?xml version="1.0" encoding="utf-8"?>
<styleSheet xmlns="http://schemas.openxmlformats.org/spreadsheetml/2006/main">
  <numFmts count="1">
    <numFmt numFmtId="164" formatCode="General"/>
  </numFmts>
  <fonts count="13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B365D"/>
      <name val="Calibri"/>
      <family val="0"/>
      <charset val="1"/>
    </font>
    <font>
      <sz val="10"/>
      <color rgb="FF475569"/>
      <name val="Calibri"/>
      <family val="0"/>
      <charset val="1"/>
    </font>
    <font>
      <b val="true"/>
      <sz val="16"/>
      <color rgb="FF1B365D"/>
      <name val="Calibri"/>
      <family val="0"/>
      <charset val="1"/>
    </font>
    <font>
      <b val="true"/>
      <sz val="9"/>
      <color rgb="FF475569"/>
      <name val="Calibri"/>
      <family val="0"/>
      <charset val="1"/>
    </font>
    <font>
      <b val="true"/>
      <sz val="10"/>
      <color rgb="FFFFFFFF"/>
      <name val="Calibri"/>
      <family val="0"/>
      <charset val="1"/>
    </font>
    <font>
      <b val="true"/>
      <sz val="10"/>
      <color rgb="FF1E293B"/>
      <name val="Calibri"/>
      <family val="0"/>
      <charset val="1"/>
    </font>
    <font>
      <sz val="10"/>
      <color rgb="FF1E293B"/>
      <name val="Calibri"/>
      <family val="0"/>
      <charset val="1"/>
    </font>
    <font>
      <b val="true"/>
      <sz val="10"/>
      <color rgb="FF0F5132"/>
      <name val="Calibri"/>
      <family val="0"/>
      <charset val="1"/>
    </font>
    <font>
      <sz val="10"/>
      <color rgb="FF1E293B"/>
      <name val="Calibri"/>
      <family val="0"/>
    </font>
  </fonts>
  <fills count="6">
    <fill>
      <patternFill patternType="none"/>
    </fill>
    <fill>
      <patternFill patternType="gray125"/>
    </fill>
    <fill>
      <patternFill patternType="solid">
        <fgColor rgb="FFF1F5F9"/>
        <bgColor rgb="FFF8FAFC"/>
      </patternFill>
    </fill>
    <fill>
      <patternFill patternType="solid">
        <fgColor rgb="FF1B365D"/>
        <bgColor rgb="FF1E293B"/>
      </patternFill>
    </fill>
    <fill>
      <patternFill patternType="solid">
        <fgColor rgb="FFD1E7DD"/>
        <bgColor rgb="FFCBD5E1"/>
      </patternFill>
    </fill>
    <fill>
      <patternFill patternType="solid">
        <fgColor rgb="FFF8FAFC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7" fillId="2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8" fillId="3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9" fillId="0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9" fillId="0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0" fillId="0" borderId="1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10" fillId="0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1" fillId="4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9" fillId="5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9" fillId="5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0" fillId="5" borderId="1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12" fillId="5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2" fillId="0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8FAFC"/>
      <rgbColor rgb="FFF1F5F9"/>
      <rgbColor rgb="FF660066"/>
      <rgbColor rgb="FFFF8080"/>
      <rgbColor rgb="FF0066CC"/>
      <rgbColor rgb="FFCBD5E1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D1E7DD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475569"/>
      <rgbColor rgb="FF969696"/>
      <rgbColor rgb="FF1B365D"/>
      <rgbColor rgb="FF339966"/>
      <rgbColor rgb="FF0F5132"/>
      <rgbColor rgb="FF333300"/>
      <rgbColor rgb="FF993300"/>
      <rgbColor rgb="FF993366"/>
      <rgbColor rgb="FF333399"/>
      <rgbColor rgb="FF1E293B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5"/>
  <sheetViews>
    <sheetView showFormulas="false" showGridLines="true" showRowColHeaders="true" showZeros="true" rightToLeft="false" tabSelected="true" showOutlineSymbols="true" defaultGridColor="true" view="normal" topLeftCell="A1" colorId="64" zoomScale="130" zoomScaleNormal="130" zoomScalePageLayoutView="100" workbookViewId="0">
      <selection pane="topLeft" activeCell="C8" activeCellId="0" sqref="C8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6"/>
    <col collapsed="false" customWidth="true" hidden="false" outlineLevel="0" max="2" min="2" style="1" width="16"/>
    <col collapsed="false" customWidth="true" hidden="false" outlineLevel="0" max="3" min="3" style="1" width="24"/>
    <col collapsed="false" customWidth="true" hidden="false" outlineLevel="0" max="5" min="4" style="1" width="54"/>
    <col collapsed="false" customWidth="true" hidden="false" outlineLevel="0" max="6" min="6" style="1" width="18"/>
    <col collapsed="false" customWidth="true" hidden="false" outlineLevel="0" max="7" min="7" style="1" width="14"/>
  </cols>
  <sheetData>
    <row r="1" customFormat="false" ht="17.35" hidden="false" customHeight="false" outlineLevel="0" collapsed="false">
      <c r="A1" s="2" t="s">
        <v>0</v>
      </c>
    </row>
    <row r="2" customFormat="false" ht="15" hidden="false" customHeight="false" outlineLevel="0" collapsed="false">
      <c r="A2" s="3" t="s">
        <v>1</v>
      </c>
    </row>
    <row r="4" customFormat="false" ht="19.7" hidden="false" customHeight="false" outlineLevel="0" collapsed="false">
      <c r="A4" s="4" t="n">
        <f aca="false">COUNTA(A8:A15)</f>
        <v>8</v>
      </c>
      <c r="B4" s="4"/>
      <c r="C4" s="4" t="str">
        <f aca="false">SUMPRODUCT(--(COUNTIF(C8:C15,{"Однозначність*","Повнота*","Несуперечливість*","Простежуваність*","Здійсненність*","Тестопридатність*"})&gt;0))&amp;" / 6"</f>
        <v>6 / 6</v>
      </c>
      <c r="D4" s="4"/>
      <c r="E4" s="4" t="s">
        <v>2</v>
      </c>
      <c r="F4" s="4"/>
      <c r="G4" s="4"/>
    </row>
    <row r="5" customFormat="false" ht="15" hidden="false" customHeight="false" outlineLevel="0" collapsed="false">
      <c r="A5" s="5" t="s">
        <v>3</v>
      </c>
      <c r="B5" s="5"/>
      <c r="C5" s="5" t="s">
        <v>4</v>
      </c>
      <c r="D5" s="5"/>
      <c r="E5" s="5" t="s">
        <v>5</v>
      </c>
      <c r="F5" s="5"/>
      <c r="G5" s="5"/>
    </row>
    <row r="7" customFormat="false" ht="27.75" hidden="false" customHeight="true" outlineLevel="0" collapsed="false">
      <c r="A7" s="6" t="s">
        <v>6</v>
      </c>
      <c r="B7" s="6" t="s">
        <v>7</v>
      </c>
      <c r="C7" s="6" t="s">
        <v>8</v>
      </c>
      <c r="D7" s="6" t="s">
        <v>9</v>
      </c>
      <c r="E7" s="6" t="s">
        <v>10</v>
      </c>
      <c r="F7" s="6" t="s">
        <v>11</v>
      </c>
      <c r="G7" s="6" t="s">
        <v>12</v>
      </c>
    </row>
    <row r="8" customFormat="false" ht="114" hidden="false" customHeight="true" outlineLevel="0" collapsed="false">
      <c r="A8" s="7" t="n">
        <v>1</v>
      </c>
      <c r="B8" s="7" t="s">
        <v>13</v>
      </c>
      <c r="C8" s="8" t="s">
        <v>14</v>
      </c>
      <c r="D8" s="9" t="s">
        <v>15</v>
      </c>
      <c r="E8" s="9" t="s">
        <v>16</v>
      </c>
      <c r="F8" s="10" t="s">
        <v>17</v>
      </c>
      <c r="G8" s="11" t="s">
        <v>18</v>
      </c>
    </row>
    <row r="9" customFormat="false" ht="114" hidden="false" customHeight="true" outlineLevel="0" collapsed="false">
      <c r="A9" s="12" t="n">
        <v>2</v>
      </c>
      <c r="B9" s="12" t="s">
        <v>19</v>
      </c>
      <c r="C9" s="13" t="s">
        <v>14</v>
      </c>
      <c r="D9" s="14" t="s">
        <v>20</v>
      </c>
      <c r="E9" s="14" t="s">
        <v>21</v>
      </c>
      <c r="F9" s="15" t="s">
        <v>17</v>
      </c>
      <c r="G9" s="11" t="s">
        <v>18</v>
      </c>
    </row>
    <row r="10" customFormat="false" ht="100.5" hidden="false" customHeight="true" outlineLevel="0" collapsed="false">
      <c r="A10" s="7" t="n">
        <v>3</v>
      </c>
      <c r="B10" s="7" t="s">
        <v>22</v>
      </c>
      <c r="C10" s="8" t="s">
        <v>23</v>
      </c>
      <c r="D10" s="9" t="s">
        <v>24</v>
      </c>
      <c r="E10" s="9" t="s">
        <v>25</v>
      </c>
      <c r="F10" s="16" t="s">
        <v>17</v>
      </c>
      <c r="G10" s="11" t="s">
        <v>18</v>
      </c>
    </row>
    <row r="11" customFormat="false" ht="100.5" hidden="false" customHeight="true" outlineLevel="0" collapsed="false">
      <c r="A11" s="12" t="n">
        <v>4</v>
      </c>
      <c r="B11" s="12" t="s">
        <v>26</v>
      </c>
      <c r="C11" s="13" t="s">
        <v>27</v>
      </c>
      <c r="D11" s="14" t="s">
        <v>28</v>
      </c>
      <c r="E11" s="14" t="s">
        <v>29</v>
      </c>
      <c r="F11" s="15" t="s">
        <v>17</v>
      </c>
      <c r="G11" s="11" t="s">
        <v>18</v>
      </c>
    </row>
    <row r="12" customFormat="false" ht="127.5" hidden="false" customHeight="true" outlineLevel="0" collapsed="false">
      <c r="A12" s="7" t="n">
        <v>5</v>
      </c>
      <c r="B12" s="7" t="s">
        <v>30</v>
      </c>
      <c r="C12" s="8" t="s">
        <v>31</v>
      </c>
      <c r="D12" s="9" t="s">
        <v>32</v>
      </c>
      <c r="E12" s="9" t="s">
        <v>33</v>
      </c>
      <c r="F12" s="16" t="s">
        <v>17</v>
      </c>
      <c r="G12" s="11" t="s">
        <v>18</v>
      </c>
    </row>
    <row r="13" customFormat="false" ht="114" hidden="false" customHeight="true" outlineLevel="0" collapsed="false">
      <c r="A13" s="12" t="n">
        <v>6</v>
      </c>
      <c r="B13" s="12" t="s">
        <v>34</v>
      </c>
      <c r="C13" s="13" t="s">
        <v>31</v>
      </c>
      <c r="D13" s="14" t="s">
        <v>35</v>
      </c>
      <c r="E13" s="14" t="s">
        <v>36</v>
      </c>
      <c r="F13" s="15" t="s">
        <v>17</v>
      </c>
      <c r="G13" s="11" t="s">
        <v>18</v>
      </c>
    </row>
    <row r="14" customFormat="false" ht="100.5" hidden="false" customHeight="true" outlineLevel="0" collapsed="false">
      <c r="A14" s="7" t="n">
        <v>7</v>
      </c>
      <c r="B14" s="7" t="s">
        <v>37</v>
      </c>
      <c r="C14" s="8" t="s">
        <v>38</v>
      </c>
      <c r="D14" s="9" t="s">
        <v>39</v>
      </c>
      <c r="E14" s="9" t="s">
        <v>40</v>
      </c>
      <c r="F14" s="16" t="s">
        <v>17</v>
      </c>
      <c r="G14" s="11" t="s">
        <v>18</v>
      </c>
    </row>
    <row r="15" customFormat="false" ht="100.5" hidden="false" customHeight="true" outlineLevel="0" collapsed="false">
      <c r="A15" s="12" t="n">
        <v>8</v>
      </c>
      <c r="B15" s="12" t="s">
        <v>41</v>
      </c>
      <c r="C15" s="13" t="s">
        <v>42</v>
      </c>
      <c r="D15" s="14" t="s">
        <v>43</v>
      </c>
      <c r="E15" s="14" t="s">
        <v>44</v>
      </c>
      <c r="F15" s="15" t="s">
        <v>17</v>
      </c>
      <c r="G15" s="11" t="s">
        <v>18</v>
      </c>
    </row>
  </sheetData>
  <mergeCells count="6">
    <mergeCell ref="A4:B4"/>
    <mergeCell ref="C4:D4"/>
    <mergeCell ref="E4:G4"/>
    <mergeCell ref="A5:B5"/>
    <mergeCell ref="C5:D5"/>
    <mergeCell ref="E5:G5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LibreOffice/26.2.6.1$Linux_X86_64 LibreOffice_project/620$Build-1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2026-10-12T17:28:04Z</dcterms:created>
  <dc:creator>openpyxl</dc:creator>
  <dc:description/>
  <dc:language>en-US</dc:language>
  <cp:lastModifiedBy/>
  <dcterms:modified xsi:type="dcterms:W3CDTF">2026-10-12T20:32:02Z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