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Реєстр" sheetId="1" state="visible" r:id="rId3"/>
    <sheet name="Розподіл розділів" sheetId="2" state="visible" r:id="rId4"/>
    <sheet name="Спірні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<sst xmlns="http://schemas.openxmlformats.org/spreadsheetml/2006/main" count="307" uniqueCount="193">
  <si>
    <t xml:space="preserve">Зведений реєстр дефектів вимог SRS v1.0 «ФінКит»</t>
  </si>
  <si>
    <t xml:space="preserve">Команда: BMIBM-banking | Зведення: Тест-аналітик (Пономаренко Р. В.) | Джерела: аркуші аудиту Мажуги І. К., Пономаренка Р. В., Городиської А. А.</t>
  </si>
  <si>
    <t xml:space="preserve">27 записів у 3 аркушах → 22 унікальних (вилучено дублікатів: 5)</t>
  </si>
  <si>
    <t xml:space="preserve">ДЕФЕКТІВ У РЕЄСТРІ (БЕЗ ВІДХИЛЕНИХ)</t>
  </si>
  <si>
    <t xml:space="preserve">КРИТЕРІЇВ ЯКОСТІ ПОКРИТО</t>
  </si>
  <si>
    <t xml:space="preserve">ВИЛУЧЕННЯ ДУБЛІКАТІВ</t>
  </si>
  <si>
    <t xml:space="preserve">№</t>
  </si>
  <si>
    <t xml:space="preserve">ID вимоги</t>
  </si>
  <si>
    <t xml:space="preserve">Критерій якості</t>
  </si>
  <si>
    <t xml:space="preserve">Опис дефекту (цитата вимоги + порушення чек-листа)</t>
  </si>
  <si>
    <t xml:space="preserve">Пропозиція виправлення</t>
  </si>
  <si>
    <t xml:space="preserve">Хто знайшов</t>
  </si>
  <si>
    <t xml:space="preserve">Статус</t>
  </si>
  <si>
    <t xml:space="preserve">Розділ SRS</t>
  </si>
  <si>
    <t xml:space="preserve">Джерела (аркуші)</t>
  </si>
  <si>
    <t xml:space="preserve">F-50</t>
  </si>
  <si>
    <t xml:space="preserve">Повнота</t>
  </si>
  <si>
    <t xml:space="preserve">Цитата: «Склад полів переліку операцій визначено в документі «Регламент виписок ФК-РВ-2»».
Порушення (п. 3): Посилання на неіснуючий документ. У розділі 1.4 «Посилання» зазначено лише Каталог продуктів, README модуля бізнес-логіки та demo ParaBank; документ «Регламент виписок ФК-РВ-2» відсутній у специфікації та додатках.</t>
  </si>
  <si>
    <t xml:space="preserve">«Перелік операцій сторінки «Деталі рахунку» відображає таблицю з обов'язковими полями: дата операції (ДД.ММ.РРРР), тип операції (зарахування/списання), опис/призначення, сума у гривнях та залишок коштів після проведення операції.»</t>
  </si>
  <si>
    <t xml:space="preserve">Мажуга І. К.</t>
  </si>
  <si>
    <t xml:space="preserve">Прийнято</t>
  </si>
  <si>
    <t xml:space="preserve">F</t>
  </si>
  <si>
    <t xml:space="preserve">Лід №3</t>
  </si>
  <si>
    <t xml:space="preserve">F-70 / BL-40</t>
  </si>
  <si>
    <t xml:space="preserve">Несуперечливість</t>
  </si>
  <si>
    <t xml:space="preserve">Цитата у F-70: «Загальна сума переказів клієнта за одну добу не може перевищувати 100 000 грн».
Порушення (п. 2): Вимога F-70 суперечить правилу бізнес-логіки модуля BL-40, де вказано: «todaySpent + amount ≤ 50 000 грн (денний ліміт)». Функціональна вимога дозволяє ліміт до 100 000 грн, тоді як модуль відхиляє операції понад 50 000 грн кодом DAILY_LIMIT_EXCEEDED.</t>
  </si>
  <si>
    <t xml:space="preserve">Узгодити F-70 з правилом модуля BL-40: «Загальна сума переказів клієнта за одну календарну добу між власними рахунками не може перевищувати 50 000.00 грн (відповідно до правила модуля BL-40); при спробі перевищення операція блокується з повідомленням про ліміт».</t>
  </si>
  <si>
    <t xml:space="preserve">F; BL</t>
  </si>
  <si>
    <t xml:space="preserve">Лід №2</t>
  </si>
  <si>
    <t xml:space="preserve">F-80</t>
  </si>
  <si>
    <t xml:space="preserve">Здійсненність</t>
  </si>
  <si>
    <t xml:space="preserve">Цитата: «Перед відправленням система перевіряє наявність одержувача в реєстрах усіх банків світу та його платоспроможність, після чого списує суму…».
Порушення (п. 1): Вимога технічно та юридично нездійсненна. Єдиного реєстру банків і рахунків «усього світу» не існує, а платоспроможність фізичної особи — конфіденційні дані, до яких вебзастосунок доступу не має. Реалізувати і перевірити таку вимогу неможливо.</t>
  </si>
  <si>
    <t xml:space="preserve">«Перед відправленням система перевіряє, що номер рахунку одержувача відповідає формату BL-50 і збігається з полем «Підтвердження номера рахунку», що він не збігається з рахунком списання, а сума не перевищує доступну суму рахунку. Перевірка в зовнішніх реєстрах не виконується.»</t>
  </si>
  <si>
    <t xml:space="preserve">Пономаренко Р. В.</t>
  </si>
  <si>
    <t xml:space="preserve">Аналітик №1</t>
  </si>
  <si>
    <t xml:space="preserve">F-90</t>
  </si>
  <si>
    <t xml:space="preserve">Однозначність</t>
  </si>
  <si>
    <t xml:space="preserve">Цитата: «Клієнт обирає рахунок та один із критеріїв пошуку... Дати вводяться у стандартному форматі».
Порушення (п. 1, 4): Термін «стандартний формат» не визначено і він допускає суперечливі інтерпретації (ДД.ММ.РРРР, РРРР-ММ-ДД або ММ/ДД/РРРР). Відсутність єдиного формату унеможливлює однозначну перевірку та реалізацію валідації полів пошуку.</t>
  </si>
  <si>
    <t xml:space="preserve">«Поля вибору дат приймають значення виключно у форматі ДД.ММ.РРРР через інтерактивний календарний віджет або прямим введенням із маскою; при введенні неіснуючої дати виводиться повідомлення «Введіть коректну дату у форматі ДД.ММ.РРРР».»</t>
  </si>
  <si>
    <t xml:space="preserve">Лід №5</t>
  </si>
  <si>
    <t xml:space="preserve">F-110</t>
  </si>
  <si>
    <t xml:space="preserve">Цитата: «Клієнт вводить суму кредиту та перший внесок, обирає рахунок для списання внеску і подає заявку. Система показує рішення… «Схвалено»… або «Відхилено» з поясненням причини».
Порушення (п. 3): Для обчислення платежу за BL-10 потрібні строк n і ставка r, але у формі їх немає. Не визначено правила рішення та перелік причин відмови (п. 2.3.5 виносить параметри за межі документа), а також реакцію на недостатню суму для першого внеску.</t>
  </si>
  <si>
    <t xml:space="preserve">Додати у форму поля «Строк, міс.» (3..60) і «Річна ставка, %» (5..40); виводити щомісячний платіж за BL-10. Визначити закритий перелік причин відмови (напр., «Недостатньо коштів для першого внеску», «Не пройдено поріг кредитного рішення») і правило схвалення з параметрами адміністратора.</t>
  </si>
  <si>
    <t xml:space="preserve">Аналітик №5</t>
  </si>
  <si>
    <t xml:space="preserve">F-110 / BL-30</t>
  </si>
  <si>
    <t xml:space="preserve">Цитата F-110: «Мінімальна сума кредиту — 500 грн».
Цитата BL-30: «…приймають лише P у межах 1 000..1 000 000 грн… для будь-якого значення поза межами метод кидає IllegalArgumentException».
Порушення (п. 2): Заявка на суму 500–999 грн дозволена за F-110, але модуль відхилить її винятком. Мінімальні межі суми кредиту не збігаються.</t>
  </si>
  <si>
    <t xml:space="preserve">Узгодити F-110 з BL-30: «Сума кредиту — від 1 000 до 1 000 000 грн (включно). За суми поза цим діапазоном система показує повідомлення «Сума кредиту має бути від 1 000 до 1 000 000 грн» і заявку не подає.» (яку межу вважати правильною — див. аркуш «Спірні»).</t>
  </si>
  <si>
    <t xml:space="preserve">Аналітик №3</t>
  </si>
  <si>
    <t xml:space="preserve">F-130 / F-140</t>
  </si>
  <si>
    <t xml:space="preserve">Простежуваність</t>
  </si>
  <si>
    <t xml:space="preserve">Цитата F-130: «Сторінка «Служба підтримки» містить форму з полями ім'я, e-mail, телефон, повідомлення та кнопку «Надіслати»...»
Цитата F-140: «Відвідувач може надіслати звернення до служби підтримки через форму зворотного зв'язку, вказавши ім'я, е-mail, телефон і текст звернення...»
Порушення (п. 1, 5): Дублювання та перетин функціональності під двома різними ID. Однакова функція форми зворотного зв'язку описана двічі різними словами.</t>
  </si>
  <si>
    <t xml:space="preserve">Залишити детальне формулювання у вимозі F-130: «Клієнт або відвідувач надсилає звернення до служби підтримки через форму з полями: ім'я, e-mail, телефон, повідомлення...». Вимогу F-140 вилучити з тексту специфікації із фіксацією в журналі змін (без зсуву інших ID).</t>
  </si>
  <si>
    <t xml:space="preserve">Лід №6</t>
  </si>
  <si>
    <t xml:space="preserve">GUI-40</t>
  </si>
  <si>
    <t xml:space="preserve">Цитата: GUI-40 — «Після входу ліва колонка містить привітання «Вітаємо, &lt;Ім'я Прізвище&gt;» і меню кабінету…» та GUI-40 — «Форма відкриття рахунку містить список «Тип рахунку»…».
Порушення (п. 1): Один ідентифікатор присвоєно двом різним вимогам. Посилання на GUI-40 у тест-кейсах і матриці простежуваності неоднозначне.</t>
  </si>
  <si>
    <t xml:space="preserve">Залишити GUI-40 за вимогою про меню кабінету, а форму відкриття рахунку позначити GUI-45 (проміжний ID, без перенумерації інших вимог) із записом у журналі змін.</t>
  </si>
  <si>
    <t xml:space="preserve">GUI</t>
  </si>
  <si>
    <t xml:space="preserve">Аналітик №4</t>
  </si>
  <si>
    <t xml:space="preserve">GUI-50</t>
  </si>
  <si>
    <t xml:space="preserve">Цитата: «Якщо суму у формі переказу або оплати рахунку введено некоректно, система показує відповідне повідомлення помітним кольором».
Порушення (п. 1, 4): Не визначено, що вважається «некоректною» сумою, текст «відповідного повідомлення» та колір («помітним»). Різні виконавці й тестувальники трактуватимуть вимогу по-різному.</t>
  </si>
  <si>
    <t xml:space="preserve">«Якщо сума порожня, не є числом, не більша за 0 або має понад 2 знаки після коми, під полем «Сума» червоним кольором (#FF0000) показується повідомлення «Введіть коректну суму, більшу за 0».»</t>
  </si>
  <si>
    <t xml:space="preserve">Пономаренко Р. В.; Городиська А. А.</t>
  </si>
  <si>
    <t xml:space="preserve">Аналітик №7; Інженер №2</t>
  </si>
  <si>
    <t xml:space="preserve">GUI-70</t>
  </si>
  <si>
    <t xml:space="preserve">Тестопридатність</t>
  </si>
  <si>
    <t xml:space="preserve">Цитата: «Форма заявки на кредит має бути інтуїтивно зрозумілою для клієнта».
Порушення: Фраза «інтуїтивно зрозуміла» суб'єктивна й не дає вимірюваного критерію: результат перевірки неможливо однозначно визначити як «пройдено / не пройдено».</t>
  </si>
  <si>
    <t xml:space="preserve">«Клієнт заповнює форму заявки на кредит (поля за F-110) з першої спроби, без використання довідки, не довше ніж за 2 хвилини.»</t>
  </si>
  <si>
    <t xml:space="preserve">Городиська А. А.</t>
  </si>
  <si>
    <t xml:space="preserve">Інженер №3</t>
  </si>
  <si>
    <t xml:space="preserve">Розд. 4: між GUI-70 і GUI-80 (без ID)</t>
  </si>
  <si>
    <t xml:space="preserve">Цитата: «Повідомлення про помилки введення показуються червоним кольором поряд із полем, якого стосуються».
Порушення: Вимога не має власного унікального ідентифікатора, тому на неї неможливо послатися в тест-кейсі та матриці простежуваності (вимога без ID — сама по собі дефект простежуваності). Також перетинається з GUI-50 і U-20.</t>
  </si>
  <si>
    <t xml:space="preserve">Присвоїти вільний ID GUI-75 (проміжний, без перенумерації інших вимог) і додати посилання на U-20; зміну зафіксувати в журналі змін.</t>
  </si>
  <si>
    <t xml:space="preserve">Інженер №1</t>
  </si>
  <si>
    <t xml:space="preserve">S-10 / GUI-80</t>
  </si>
  <si>
    <t xml:space="preserve">Цитата S-10: «Сеанс клієнта автоматично завершується після 15 хвилин бездіяльності; для продовження роботи потрібен повторний вхід».
Порушення (п. 2): Пряма суперечність із вимогою GUI-80: «Після входу сеанс клієнта залишається активним протягом 8 годин незалежно від активності; повторний вхід протягом цього часу не потрібен». Обидві вимоги описують тайм-аут сесії з протилежною логікою.</t>
  </si>
  <si>
    <t xml:space="preserve">Узгодити політику сесій: «Сеанс клієнта автоматично завершується після 15 хвилин бездіяльності (відповідно до S-10). При цьому максимальна загальна тривалість безперервної сесії навіть за умови постійної активності становить не більше 8 годин, після чого вимагається повторна автентифікація (зміна до GUI-80).»</t>
  </si>
  <si>
    <t xml:space="preserve">Мажуга І. К.; Городиська А. А.</t>
  </si>
  <si>
    <t xml:space="preserve">GUI; S</t>
  </si>
  <si>
    <t xml:space="preserve">Лід №4; Інженер №4</t>
  </si>
  <si>
    <t xml:space="preserve">BL-40</t>
  </si>
  <si>
    <t xml:space="preserve">Цитата (за автором запису): BL-40 не описує реакцію на невалідні суми (0 або від'ємне значення).
Результат розгляду: Запис не підтверджено. BL-40 уже вимагає «amount &gt; 0» і прямо називає код AMOUNT_NOT_POSITIVE у переліку кодів порушень.</t>
  </si>
  <si>
    <t xml:space="preserve">(Пропозиція автора: «Якщо amount &lt;= 0, повертається код AMOUNT_NOT_POSITIVE».) Змін до SRS не потрібно: вимога вже міститься в BL-40.</t>
  </si>
  <si>
    <t xml:space="preserve">Відхилено після обговорення</t>
  </si>
  <si>
    <t xml:space="preserve">BL</t>
  </si>
  <si>
    <t xml:space="preserve">Інженер №5</t>
  </si>
  <si>
    <t xml:space="preserve">BL-60</t>
  </si>
  <si>
    <t xml:space="preserve">Цитата: «Перед перевіркою формату модуль підтверджує існування рахунку-одержувача в реєстрі Національного банку в режимі реального часу; при цьому модуль не використовує мережевих з'єднань і не має зовнішніх залежностей».
Порушення (п. 1): Вимога виконати неможливо: перевірка в реєстрі НБУ в режимі реального часу потребує мережевого з'єднання, яке цією ж вимогою (та п. 2.2) заборонене. Модульні тести JUnit 5 її перевірити не можуть.</t>
  </si>
  <si>
    <t xml:space="preserve">Вилучити BL-60 з вимог до модуля (з фіксацією у журналі змін, без зсуву ID): «Модуль перевіряє лише формат IBAN за BL-50. Перевірка існування рахунку-одержувача виконується на рівні застосунку й до обсягу модуля не входить.» (альтернативу автора №2 — див. аркуш «Спірні»).</t>
  </si>
  <si>
    <t xml:space="preserve">Аналітик №2; Інженер №6</t>
  </si>
  <si>
    <t xml:space="preserve">BL-70</t>
  </si>
  <si>
    <t xml:space="preserve">Цитата: «withdraw(amount) — зменшує; сума кожної операції має бути додатною: для нульової або від'ємної суми метод кидає IllegalArgumentException…».
Порушення (п. 3): Не описано поведінку withdraw для суми, більшої за поточний баланс. Термін «Овердрафт» визначено в п. 1.3, але жодна вимога його не забороняє і не дозволяє; можливий від'ємний баланс, що суперечить INSUFFICIENT_FUNDS у BL-40.</t>
  </si>
  <si>
    <t xml:space="preserve">Додати: «Якщо amount більше за поточний баланс, withdraw(amount) кидає IllegalStateException, а баланс не змінюється; овердрафт не допускається.»</t>
  </si>
  <si>
    <t xml:space="preserve">Аналітик №6</t>
  </si>
  <si>
    <t xml:space="preserve">BL-80</t>
  </si>
  <si>
    <t xml:space="preserve">Цитата: «Клас AccountLedger має працювати без помилок за будь-яких вхідних даних і в будь-яких умовах експлуатації».
Порушення (п. 1): Вимога нетестопридатна: неможливо побудувати скінченний набір тестів для «будь-яких» даних і умов. Крім того, вона суперечить BL-70, за яким метод свідомо кидає виняток.</t>
  </si>
  <si>
    <t xml:space="preserve">Замінити на спостережувані правила: «deposit/withdraw з null-аргументом кидають NullPointerException; суми з понад двома знаками після коми округлюються HALF_UP до копійок; balance() не змінює стан рахунку». (Варіант «вилучити» — див. аркуш «Спірні».)</t>
  </si>
  <si>
    <t xml:space="preserve">Аналітик №8; Інженер №7</t>
  </si>
  <si>
    <t xml:space="preserve">P-10</t>
  </si>
  <si>
    <t xml:space="preserve">Цитата: «Будь-яка сторінка кабінету повністю відображається не довше ніж за 0,1 с після натискання, незалежно від типу з'єднання клієнта, включно з мобільним 2G».
Порушення (п. 1): Вимога фізично та технологічно нездійсненна. Час затримки сигналу (RTT) у мобільних мережах покоління 2G становить 300–1000 мс лише на мережевому рівні, тому відображення вебсторінки онлайн-банкінгу за 0,1 с є недосяжним.</t>
  </si>
  <si>
    <t xml:space="preserve">«За умови стабільного broadband/4G з'єднання час повного завантаження та відображення сторінки кабінету не перевищує 2,0 с (95-й перцентиль); для мобільних з'єднань з обмеженою швидкістю (2G/EDGE) — не більше 5,0 с.»</t>
  </si>
  <si>
    <t xml:space="preserve">P</t>
  </si>
  <si>
    <t xml:space="preserve">Лід №1</t>
  </si>
  <si>
    <t xml:space="preserve">P-20</t>
  </si>
  <si>
    <t xml:space="preserve">Цитата: «Система витримує великі обсяги операцій у години пік без відчутної деградації».
Порушення (п. 1): Відсутні конкретні числові метрики та критерії успішності. Слова «великі обсяги» та «без відчутної деградації» не дають тестувальнику можливості сформулювати однозначний результат тесту (пройдено / не пройдено).</t>
  </si>
  <si>
    <t xml:space="preserve">«Система стабільно обробляє навантаження до 200 одночасних активних користувачів (до 50 операцій переказу коштів на секунду); при цьому 95-й перцентиль часу відповіді операції переказу не перевищує 3,0 с, а частка помилок сервера (HTTP 5xx) становить 0.00%.»</t>
  </si>
  <si>
    <t xml:space="preserve">Лід №8</t>
  </si>
  <si>
    <t xml:space="preserve">S-20</t>
  </si>
  <si>
    <t xml:space="preserve">Цитата: «Система гарантує 100% захист від шахрайських операцій і несанкціонованого доступу до рахунків клієнтів».
Порушення (п. 1): Вимога принципово нетестопридатна. Формулювання «100% захист» є класичним словом-маркером абсолютної гарантії; неможливо побудувати вичерпний скінченний набір тест-кейсів для підтвердження «100% неможливості зламу». Також зафіксовано як порушення здійсненності: абсолютну гарантію захисту дати неможливо.</t>
  </si>
  <si>
    <t xml:space="preserve">Переформулювати на спостережувані технічні механізми захисту: «Система блокує доступ після 5 поспіль невдалих спроб введення пароля на 30 хвилин; передача фінансових даних здійснюється виключно за протоколом HTTPS з шифруванням TLS 1.3; повторна відправка фінансової транзакції захищена перевіркою idempotent key.»</t>
  </si>
  <si>
    <t xml:space="preserve">S</t>
  </si>
  <si>
    <t xml:space="preserve">Лід №7; Інженер №11</t>
  </si>
  <si>
    <t xml:space="preserve">U-10</t>
  </si>
  <si>
    <t xml:space="preserve">Цитата: «Інтерфейс кабінету має бути зручним і приємним для клієнтів будь-якого віку».
Порушення: Слова «зручним і приємним» суб'єктивні й не можуть бути критерієм для тестування; «будь-якого віку» не обмежує жодної перевірки.</t>
  </si>
  <si>
    <t xml:space="preserve">«Навігація до основних функцій кабінету доступна не більше ніж за 2 кліки з головної сторінки кабінету (меню за GUI-40).»</t>
  </si>
  <si>
    <t xml:space="preserve">U</t>
  </si>
  <si>
    <t xml:space="preserve">Інженер №8</t>
  </si>
  <si>
    <t xml:space="preserve">D-10</t>
  </si>
  <si>
    <t xml:space="preserve">Цитата: «Документація користувача має бути повною і зрозумілою».
Порушення: Відсутні метрики перевірки «повноти» та «зрозумілості» документації — результат перевірки неможливо визначити однозначно.</t>
  </si>
  <si>
    <t xml:space="preserve">«Документація користувача містить покрокові інструкції зі скріншотами для 100 % функцій кабінету (за вимогами F-10…F-130).»</t>
  </si>
  <si>
    <t xml:space="preserve">D</t>
  </si>
  <si>
    <t xml:space="preserve">Інженер №9</t>
  </si>
  <si>
    <t xml:space="preserve">D-20</t>
  </si>
  <si>
    <t xml:space="preserve">Цитата: «Інструкція адміністратора описує процедуру скидання даних (F-150) та налаштування параметрів кредитного рішення (F-160)».
Порушення: Посилання на F-150 і F-160, проте в розділі 3 вимог з такими ID немає (останній — F-140).</t>
  </si>
  <si>
    <t xml:space="preserve">Додати у розділ 3 нові вимоги (існуючі ID не зсувати): F-150 — адміністратор ініціалізує й очищає дані застосунку; F-160 — адміністратор задає параметри кредитного рішення (спосіб опрацювання заявки, поріг у %). Це також закриває прогалину п. 2.3.5 і F-110.</t>
  </si>
  <si>
    <t xml:space="preserve">Інженер №10</t>
  </si>
  <si>
    <t xml:space="preserve">Розподіл розділів SRS між аудиторами та перевірка покриття</t>
  </si>
  <si>
    <t xml:space="preserve">Правило: кожен розділ мають перевірити щонайменше двоє учасників. «Закріплено» — за планом спринту; «Знахідок» — записи реєстру (з відхиленими), що стосуються розділу.</t>
  </si>
  <si>
    <t xml:space="preserve">Розділ</t>
  </si>
  <si>
    <t xml:space="preserve">Склад розділу</t>
  </si>
  <si>
    <t xml:space="preserve">Закріплено за планом (✓)</t>
  </si>
  <si>
    <t xml:space="preserve">Знахідок у реєстрі</t>
  </si>
  <si>
    <t xml:space="preserve">Аудиторів (план або знахідки)</t>
  </si>
  <si>
    <t xml:space="preserve">Дефектів у реєстрі (без відхилених)</t>
  </si>
  <si>
    <t xml:space="preserve">Покриття ≥ 2 аудиторів</t>
  </si>
  <si>
    <t xml:space="preserve">1–2</t>
  </si>
  <si>
    <t xml:space="preserve">1. Вступ; 2. Загальний опис (ролі, середовище, обмеження)</t>
  </si>
  <si>
    <t xml:space="preserve">✓</t>
  </si>
  <si>
    <t xml:space="preserve">—</t>
  </si>
  <si>
    <t xml:space="preserve">3. Функціональні вимоги F-10…F-140</t>
  </si>
  <si>
    <t xml:space="preserve">4. Вимоги до інтерфейсу GUI-10…GUI-80</t>
  </si>
  <si>
    <t xml:space="preserve">5. Вимоги до бізнес-логіки модуля BL-10…BL-80</t>
  </si>
  <si>
    <t xml:space="preserve">6. Нефункціональні: продуктивність P-10, P-20</t>
  </si>
  <si>
    <t xml:space="preserve">6. Нефункціональні: безпека S-10, S-20</t>
  </si>
  <si>
    <t xml:space="preserve">6. Нефункціональні: зручність U-10, U-20</t>
  </si>
  <si>
    <t xml:space="preserve">6. Нефункціональні: документація D-10, D-20</t>
  </si>
  <si>
    <t xml:space="preserve">Примітки до покриття</t>
  </si>
  <si>
    <t xml:space="preserve">1. Розділи 1–2, P, U, D за наявними аркушами перевірив лише один учасник. Для виконання правила «двоє на розділ» потрібна додаткова вичитка (наприклад, на сесії зведення — коротким проходом другого учасника).</t>
  </si>
  <si>
    <t xml:space="preserve">2. Розділ S зараховано як покритий двома учасниками за знахідками (Мажуга — S-10, S-20; Городиська — S-10 у суперечності з GUI-80 і S-20), хоча за планом він закріплений лише за Мажугою.</t>
  </si>
  <si>
    <t xml:space="preserve">3. Дефект, що стосується двох розділів (напр., F-70 / BL-40), враховано в обох розділах, тому сума по розділах може перевищувати загальну кількість дефектів.</t>
  </si>
  <si>
    <t xml:space="preserve">Покриття критеріїв якості (норматив: ≥ 2 на кожен критерій, ≥ 12 усього)</t>
  </si>
  <si>
    <t xml:space="preserve">Знайдено</t>
  </si>
  <si>
    <t xml:space="preserve">Норматив</t>
  </si>
  <si>
    <t xml:space="preserve">Виконано</t>
  </si>
  <si>
    <t xml:space="preserve">Разом</t>
  </si>
  <si>
    <t xml:space="preserve">Спірні записи реєстру дефектів вимог</t>
  </si>
  <si>
    <t xml:space="preserve">Для модерації (роль «адвокат замовника»): розбіжності в авторів, класифікації та способі виправлення. Рекомендації — пропозиція до обговорення, остаточне рішення — за командою.</t>
  </si>
  <si>
    <t xml:space="preserve">Реєстр №; ID вимоги</t>
  </si>
  <si>
    <t xml:space="preserve">Суть розбіжності</t>
  </si>
  <si>
    <t xml:space="preserve">Позиція 1</t>
  </si>
  <si>
    <t xml:space="preserve">Позиція 2</t>
  </si>
  <si>
    <t xml:space="preserve">Аргументація (за текстом SRS і чек-листом)</t>
  </si>
  <si>
    <t xml:space="preserve">Рекомендоване рішення</t>
  </si>
  <si>
    <t xml:space="preserve">№13
BL-40</t>
  </si>
  <si>
    <t xml:space="preserve">Чи є дефект повноти: BL-40 «не описує реакцію на невалідні суми».</t>
  </si>
  <si>
    <t xml:space="preserve">Городиська А. А.: додати «Якщо amount ≤ 0, повертається код AMOUNT_NOT_POSITIVE».</t>
  </si>
  <si>
    <t xml:space="preserve">Контрпозиція (перевірка за текстом): запис не підтверджується.</t>
  </si>
  <si>
    <t xml:space="preserve">BL-40 уже вимагає «amount &gt; 0» і прямо називає код AMOUNT_NOT_POSITIVE у переліку кодів порушень. Запропонований текст дублює наявну вимогу, тобто порушення повноти немає.</t>
  </si>
  <si>
    <t xml:space="preserve">Відхилити запис. Залишити його в реєстрі зі статусом «Відхилено після обговорення» (відхилені записи не видаляються).</t>
  </si>
  <si>
    <t xml:space="preserve">№14
BL-60</t>
  </si>
  <si>
    <t xml:space="preserve">Спосіб виправлення нездійсненної вимоги про реєстр НБУ.</t>
  </si>
  <si>
    <t xml:space="preserve">Пономаренко Р. В.: вилучити BL-60; у модулі залишити перевірку формату за BL-50, перевірку існування рахунку винести на рівень застосунку.</t>
  </si>
  <si>
    <t xml:space="preserve">Городиська А. А.: замінити на перевірку контрольного числа IBAN за математичним алгоритмом без звернення до реєстру.</t>
  </si>
  <si>
    <t xml:space="preserve">Обидві позиції прибирають мережеву залежність. Але BL-50 визначає лише формат (UA + 27 цифр); перевірка контрольних цифр — нова поведінка модуля, яка змінює його обсяг і потребує нового коду порушення та погодження замовника.</t>
  </si>
  <si>
    <t xml:space="preserve">Вилучити BL-60 (позиція 1). Перевірку контрольних цифр, за потреби, запропонувати замовнику як окрему нову вимогу (проміжний ID, напр. BL-55).</t>
  </si>
  <si>
    <t xml:space="preserve">Вирішено</t>
  </si>
  <si>
    <t xml:space="preserve">№16
BL-80</t>
  </si>
  <si>
    <t xml:space="preserve">Вилучити BL-80 чи замінити конкретними правилами.</t>
  </si>
  <si>
    <t xml:space="preserve">Городиська А. А.: вилучити, бо стабільність покривають вимоги P та S.</t>
  </si>
  <si>
    <t xml:space="preserve">Пономаренко Р. В.: замінити спостережуваними правилами (null-аргументи, округлення HALF_UP, balance() без побічних ефектів).</t>
  </si>
  <si>
    <t xml:space="preserve">P та S описують систему в цілому, а не поведінку класу AccountLedger. BL-70 покриває лише суму ≤ 0, тож після вилучення null-аргументи й округлення залишилися б без вимоги та без юніт-тестів.</t>
  </si>
  <si>
    <t xml:space="preserve">Замінити (позиція 2). Якщо команда вирішить вилучати — зафіксувати це в журналі змін SRS 1.1.</t>
  </si>
  <si>
    <t xml:space="preserve">№19
S-20</t>
  </si>
  <si>
    <t xml:space="preserve">Критерій якості для S-20.</t>
  </si>
  <si>
    <t xml:space="preserve">Мажуга І. К.: Тестопридатність — «100 % захист» неможливо перевірити.</t>
  </si>
  <si>
    <t xml:space="preserve">Городиська А. А.: Здійсненність — абсолютну гарантію захисту неможливо надати.</t>
  </si>
  <si>
    <t xml:space="preserve">Обидва порушення випливають з одного слова-маркера абсолютної гарантії. Це один дефект, а не два; виправлення в обох авторів збігається за змістом (замінити конкретними механізмами захисту).</t>
  </si>
  <si>
    <t xml:space="preserve">Один запис із критерієм «Тестопридатність» і двома авторами; виправлення — з аркуша Мажуги. На виконання нормативу ≥ 2 на критерій рішення не впливає (здійсненність покрито P-10, F-80, BL-60).</t>
  </si>
  <si>
    <t xml:space="preserve">№6
F-110 / BL-30</t>
  </si>
  <si>
    <t xml:space="preserve">Яка межа мінімальної суми кредиту правильна: 500 чи 1 000 грн.</t>
  </si>
  <si>
    <t xml:space="preserve">Пономаренко Р. В.: змінити F-110 на «від 1 000 грн» (BL-30 — джерело істини).</t>
  </si>
  <si>
    <t xml:space="preserve">Можлива позиція замовника: 500 грн — бізнес-вимога, тоді треба змінювати BL-30 і тести модуля.</t>
  </si>
  <si>
    <t xml:space="preserve">BL-30 одночасно задає межі P, n і r, і саме на ньому будуватимуться модульні тести (граничні значення). Але яке значення відповідає намірам банку, може підтвердити лише замовник.</t>
  </si>
  <si>
    <t xml:space="preserve">До підтвердження замовником прийняти 1 000 грн (BL-30) і виправити F-110; питання винести в перелік запитань до замовника.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</si>
</sst>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365D"/>
      <name val="Calibri"/>
      <family val="0"/>
      <charset val="1"/>
    </font>
    <font>
      <sz val="10"/>
      <color rgb="FF475569"/>
      <name val="Calibri"/>
      <family val="0"/>
      <charset val="1"/>
    </font>
    <font>
      <b val="true"/>
      <sz val="16"/>
      <color rgb="FF1B365D"/>
      <name val="Calibri"/>
      <family val="0"/>
      <charset val="1"/>
    </font>
    <font>
      <b val="true"/>
      <sz val="9"/>
      <color rgb="FF47556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E293B"/>
      <name val="Calibri"/>
      <family val="0"/>
      <charset val="1"/>
    </font>
    <font>
      <sz val="10"/>
      <color rgb="FF1E293B"/>
      <name val="Calibri"/>
      <family val="0"/>
      <charset val="1"/>
    </font>
    <font>
      <b val="true"/>
      <sz val="10"/>
      <color rgb="FF0F5132"/>
      <name val="Calibri"/>
      <family val="0"/>
      <charset val="1"/>
    </font>
    <font>
      <b val="true"/>
      <sz val="10"/>
      <color rgb="FF842029"/>
      <name val="Calibri"/>
      <family val="0"/>
      <charset val="1"/>
    </font>
    <font>
      <b val="true"/>
      <sz val="11"/>
      <color rgb="FF1B365D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1F5F9"/>
        <bgColor rgb="FFF8FAFC"/>
      </patternFill>
    </fill>
    <fill>
      <patternFill patternType="solid">
        <fgColor rgb="FF1B365D"/>
        <bgColor rgb="FF1E293B"/>
      </patternFill>
    </fill>
    <fill>
      <patternFill patternType="solid">
        <fgColor rgb="FFD1E7DD"/>
        <bgColor rgb="FFCBD5E1"/>
      </patternFill>
    </fill>
    <fill>
      <patternFill patternType="solid">
        <fgColor rgb="FFF8FAFC"/>
        <bgColor rgb="FFFFFFFF"/>
      </patternFill>
    </fill>
    <fill>
      <patternFill patternType="solid">
        <fgColor rgb="FFF8D7DA"/>
        <bgColor rgb="FFD1E7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charset val="1"/>
        <family val="0"/>
        <b val="1"/>
        <color rgb="FF842029"/>
      </font>
      <fill>
        <patternFill>
          <bgColor rgb="FFF8D7DA"/>
        </patternFill>
      </fill>
    </dxf>
    <dxf>
      <font>
        <name val="Calibri"/>
        <charset val="1"/>
        <family val="0"/>
        <b val="1"/>
        <color rgb="FF0F5132"/>
      </font>
      <fill>
        <patternFill>
          <bgColor rgb="FFD1E7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F1F5F9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7DD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B365D"/>
      <rgbColor rgb="FF339966"/>
      <rgbColor rgb="FF0F5132"/>
      <rgbColor rgb="FF333300"/>
      <rgbColor rgb="FF842029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29" activePane="bottomLeft" state="frozen"/>
      <selection pane="topLeft" activeCell="A1" activeCellId="0" sqref="A1"/>
      <selection pane="bottomLeft" activeCell="G19" activeCellId="0" sqref="G1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5" min="4" style="1" width="54"/>
    <col collapsed="false" customWidth="true" hidden="false" outlineLevel="0" max="6" min="6" style="1" width="20"/>
    <col collapsed="false" customWidth="true" hidden="false" outlineLevel="0" max="7" min="7" style="1" width="16"/>
    <col collapsed="false" customWidth="true" hidden="false" outlineLevel="0" max="8" min="8" style="1" width="11"/>
    <col collapsed="false" customWidth="true" hidden="false" outlineLevel="0" max="9" min="9" style="1" width="18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20.85" hidden="false" customHeight="true" outlineLevel="0" collapsed="false">
      <c r="A4" s="4" t="n">
        <f aca="false">COUNTIF(G8:G29,"&lt;&gt;Відхилено після обговорення")</f>
        <v>21</v>
      </c>
      <c r="B4" s="4"/>
      <c r="C4" s="4" t="str">
        <f aca="false">SUMPRODUCT(--(COUNTIFS(C8:C29,{"Однозначність","Повнота","Несуперечливість","Простежуваність","Здійсненність","Тестопридатність"},G8:G29,"&lt;&gt;Відхилено після обговорення")&gt;0))&amp;" / 6"</f>
        <v>6 / 6</v>
      </c>
      <c r="D4" s="4"/>
      <c r="E4" s="4" t="s">
        <v>2</v>
      </c>
      <c r="F4" s="4"/>
      <c r="G4" s="4"/>
      <c r="H4" s="4"/>
      <c r="I4" s="4"/>
    </row>
    <row r="5" customFormat="false" ht="55.2" hidden="false" customHeight="false" outlineLevel="0" collapsed="false">
      <c r="A5" s="5" t="s">
        <v>3</v>
      </c>
      <c r="B5" s="5"/>
      <c r="C5" s="5" t="s">
        <v>4</v>
      </c>
      <c r="D5" s="5"/>
      <c r="E5" s="5" t="s">
        <v>5</v>
      </c>
      <c r="F5" s="5"/>
      <c r="G5" s="5"/>
      <c r="H5" s="5"/>
      <c r="I5" s="5"/>
    </row>
    <row r="7" customFormat="false" ht="27.75" hidden="false" customHeight="true" outlineLevel="0" collapsed="false">
      <c r="A7" s="6" t="s">
        <v>6</v>
      </c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14</v>
      </c>
    </row>
    <row r="8" customFormat="false" ht="100.5" hidden="false" customHeight="true" outlineLevel="0" collapsed="false">
      <c r="A8" s="7" t="n">
        <v>1</v>
      </c>
      <c r="B8" s="7" t="s">
        <v>15</v>
      </c>
      <c r="C8" s="7" t="s">
        <v>16</v>
      </c>
      <c r="D8" s="8" t="s">
        <v>17</v>
      </c>
      <c r="E8" s="8" t="s">
        <v>18</v>
      </c>
      <c r="F8" s="9" t="s">
        <v>19</v>
      </c>
      <c r="G8" s="10" t="s">
        <v>20</v>
      </c>
      <c r="H8" s="9" t="s">
        <v>21</v>
      </c>
      <c r="I8" s="9" t="s">
        <v>22</v>
      </c>
    </row>
    <row r="9" customFormat="false" ht="100.5" hidden="false" customHeight="true" outlineLevel="0" collapsed="false">
      <c r="A9" s="11" t="n">
        <v>2</v>
      </c>
      <c r="B9" s="11" t="s">
        <v>23</v>
      </c>
      <c r="C9" s="11" t="s">
        <v>24</v>
      </c>
      <c r="D9" s="12" t="s">
        <v>25</v>
      </c>
      <c r="E9" s="12" t="s">
        <v>26</v>
      </c>
      <c r="F9" s="13" t="s">
        <v>19</v>
      </c>
      <c r="G9" s="10" t="s">
        <v>20</v>
      </c>
      <c r="H9" s="13" t="s">
        <v>27</v>
      </c>
      <c r="I9" s="13" t="s">
        <v>28</v>
      </c>
    </row>
    <row r="10" customFormat="false" ht="114" hidden="false" customHeight="true" outlineLevel="0" collapsed="false">
      <c r="A10" s="7" t="n">
        <v>3</v>
      </c>
      <c r="B10" s="7" t="s">
        <v>29</v>
      </c>
      <c r="C10" s="7" t="s">
        <v>30</v>
      </c>
      <c r="D10" s="8" t="s">
        <v>31</v>
      </c>
      <c r="E10" s="8" t="s">
        <v>32</v>
      </c>
      <c r="F10" s="9" t="s">
        <v>33</v>
      </c>
      <c r="G10" s="10" t="s">
        <v>20</v>
      </c>
      <c r="H10" s="9" t="s">
        <v>21</v>
      </c>
      <c r="I10" s="9" t="s">
        <v>34</v>
      </c>
    </row>
    <row r="11" customFormat="false" ht="100.5" hidden="false" customHeight="true" outlineLevel="0" collapsed="false">
      <c r="A11" s="11" t="n">
        <v>4</v>
      </c>
      <c r="B11" s="11" t="s">
        <v>35</v>
      </c>
      <c r="C11" s="11" t="s">
        <v>36</v>
      </c>
      <c r="D11" s="12" t="s">
        <v>37</v>
      </c>
      <c r="E11" s="12" t="s">
        <v>38</v>
      </c>
      <c r="F11" s="13" t="s">
        <v>19</v>
      </c>
      <c r="G11" s="10" t="s">
        <v>20</v>
      </c>
      <c r="H11" s="13" t="s">
        <v>21</v>
      </c>
      <c r="I11" s="13" t="s">
        <v>39</v>
      </c>
    </row>
    <row r="12" customFormat="false" ht="127.5" hidden="false" customHeight="true" outlineLevel="0" collapsed="false">
      <c r="A12" s="7" t="n">
        <v>5</v>
      </c>
      <c r="B12" s="7" t="s">
        <v>40</v>
      </c>
      <c r="C12" s="7" t="s">
        <v>16</v>
      </c>
      <c r="D12" s="8" t="s">
        <v>41</v>
      </c>
      <c r="E12" s="8" t="s">
        <v>42</v>
      </c>
      <c r="F12" s="9" t="s">
        <v>33</v>
      </c>
      <c r="G12" s="10" t="s">
        <v>20</v>
      </c>
      <c r="H12" s="9" t="s">
        <v>21</v>
      </c>
      <c r="I12" s="9" t="s">
        <v>43</v>
      </c>
    </row>
    <row r="13" customFormat="false" ht="100.5" hidden="false" customHeight="true" outlineLevel="0" collapsed="false">
      <c r="A13" s="11" t="n">
        <v>6</v>
      </c>
      <c r="B13" s="11" t="s">
        <v>44</v>
      </c>
      <c r="C13" s="11" t="s">
        <v>24</v>
      </c>
      <c r="D13" s="12" t="s">
        <v>45</v>
      </c>
      <c r="E13" s="12" t="s">
        <v>46</v>
      </c>
      <c r="F13" s="13" t="s">
        <v>33</v>
      </c>
      <c r="G13" s="10" t="s">
        <v>20</v>
      </c>
      <c r="H13" s="13" t="s">
        <v>27</v>
      </c>
      <c r="I13" s="13" t="s">
        <v>47</v>
      </c>
    </row>
    <row r="14" customFormat="false" ht="127.5" hidden="false" customHeight="true" outlineLevel="0" collapsed="false">
      <c r="A14" s="7" t="n">
        <v>7</v>
      </c>
      <c r="B14" s="7" t="s">
        <v>48</v>
      </c>
      <c r="C14" s="7" t="s">
        <v>49</v>
      </c>
      <c r="D14" s="8" t="s">
        <v>50</v>
      </c>
      <c r="E14" s="8" t="s">
        <v>51</v>
      </c>
      <c r="F14" s="9" t="s">
        <v>19</v>
      </c>
      <c r="G14" s="10" t="s">
        <v>20</v>
      </c>
      <c r="H14" s="9" t="s">
        <v>21</v>
      </c>
      <c r="I14" s="9" t="s">
        <v>52</v>
      </c>
    </row>
    <row r="15" customFormat="false" ht="100.5" hidden="false" customHeight="true" outlineLevel="0" collapsed="false">
      <c r="A15" s="11" t="n">
        <v>8</v>
      </c>
      <c r="B15" s="11" t="s">
        <v>53</v>
      </c>
      <c r="C15" s="11" t="s">
        <v>49</v>
      </c>
      <c r="D15" s="12" t="s">
        <v>54</v>
      </c>
      <c r="E15" s="12" t="s">
        <v>55</v>
      </c>
      <c r="F15" s="13" t="s">
        <v>33</v>
      </c>
      <c r="G15" s="10" t="s">
        <v>20</v>
      </c>
      <c r="H15" s="13" t="s">
        <v>56</v>
      </c>
      <c r="I15" s="13" t="s">
        <v>57</v>
      </c>
    </row>
    <row r="16" customFormat="false" ht="100.5" hidden="false" customHeight="true" outlineLevel="0" collapsed="false">
      <c r="A16" s="7" t="n">
        <v>9</v>
      </c>
      <c r="B16" s="7" t="s">
        <v>58</v>
      </c>
      <c r="C16" s="7" t="s">
        <v>36</v>
      </c>
      <c r="D16" s="8" t="s">
        <v>59</v>
      </c>
      <c r="E16" s="8" t="s">
        <v>60</v>
      </c>
      <c r="F16" s="9" t="s">
        <v>61</v>
      </c>
      <c r="G16" s="10" t="s">
        <v>20</v>
      </c>
      <c r="H16" s="9" t="s">
        <v>56</v>
      </c>
      <c r="I16" s="9" t="s">
        <v>62</v>
      </c>
    </row>
    <row r="17" customFormat="false" ht="73.5" hidden="false" customHeight="true" outlineLevel="0" collapsed="false">
      <c r="A17" s="11" t="n">
        <v>10</v>
      </c>
      <c r="B17" s="11" t="s">
        <v>63</v>
      </c>
      <c r="C17" s="11" t="s">
        <v>64</v>
      </c>
      <c r="D17" s="12" t="s">
        <v>65</v>
      </c>
      <c r="E17" s="12" t="s">
        <v>66</v>
      </c>
      <c r="F17" s="13" t="s">
        <v>67</v>
      </c>
      <c r="G17" s="10" t="s">
        <v>20</v>
      </c>
      <c r="H17" s="13" t="s">
        <v>56</v>
      </c>
      <c r="I17" s="13" t="s">
        <v>68</v>
      </c>
    </row>
    <row r="18" customFormat="false" ht="87" hidden="false" customHeight="true" outlineLevel="0" collapsed="false">
      <c r="A18" s="7" t="n">
        <v>11</v>
      </c>
      <c r="B18" s="7" t="s">
        <v>69</v>
      </c>
      <c r="C18" s="7" t="s">
        <v>49</v>
      </c>
      <c r="D18" s="8" t="s">
        <v>70</v>
      </c>
      <c r="E18" s="8" t="s">
        <v>71</v>
      </c>
      <c r="F18" s="9" t="s">
        <v>67</v>
      </c>
      <c r="G18" s="10" t="s">
        <v>20</v>
      </c>
      <c r="H18" s="9" t="s">
        <v>56</v>
      </c>
      <c r="I18" s="9" t="s">
        <v>72</v>
      </c>
    </row>
    <row r="19" customFormat="false" ht="114" hidden="false" customHeight="true" outlineLevel="0" collapsed="false">
      <c r="A19" s="11" t="n">
        <v>12</v>
      </c>
      <c r="B19" s="11" t="s">
        <v>73</v>
      </c>
      <c r="C19" s="11" t="s">
        <v>24</v>
      </c>
      <c r="D19" s="12" t="s">
        <v>74</v>
      </c>
      <c r="E19" s="12" t="s">
        <v>75</v>
      </c>
      <c r="F19" s="13" t="s">
        <v>76</v>
      </c>
      <c r="G19" s="10" t="s">
        <v>20</v>
      </c>
      <c r="H19" s="13" t="s">
        <v>77</v>
      </c>
      <c r="I19" s="13" t="s">
        <v>78</v>
      </c>
    </row>
    <row r="20" customFormat="false" ht="73.5" hidden="false" customHeight="true" outlineLevel="0" collapsed="false">
      <c r="A20" s="7" t="n">
        <v>13</v>
      </c>
      <c r="B20" s="7" t="s">
        <v>79</v>
      </c>
      <c r="C20" s="7" t="s">
        <v>16</v>
      </c>
      <c r="D20" s="8" t="s">
        <v>80</v>
      </c>
      <c r="E20" s="8" t="s">
        <v>81</v>
      </c>
      <c r="F20" s="9" t="s">
        <v>67</v>
      </c>
      <c r="G20" s="14" t="s">
        <v>82</v>
      </c>
      <c r="H20" s="9" t="s">
        <v>83</v>
      </c>
      <c r="I20" s="9" t="s">
        <v>84</v>
      </c>
    </row>
    <row r="21" customFormat="false" ht="114" hidden="false" customHeight="true" outlineLevel="0" collapsed="false">
      <c r="A21" s="11" t="n">
        <v>14</v>
      </c>
      <c r="B21" s="11" t="s">
        <v>85</v>
      </c>
      <c r="C21" s="11" t="s">
        <v>30</v>
      </c>
      <c r="D21" s="12" t="s">
        <v>86</v>
      </c>
      <c r="E21" s="12" t="s">
        <v>87</v>
      </c>
      <c r="F21" s="13" t="s">
        <v>61</v>
      </c>
      <c r="G21" s="10" t="s">
        <v>20</v>
      </c>
      <c r="H21" s="13" t="s">
        <v>83</v>
      </c>
      <c r="I21" s="13" t="s">
        <v>88</v>
      </c>
    </row>
    <row r="22" customFormat="false" ht="114" hidden="false" customHeight="true" outlineLevel="0" collapsed="false">
      <c r="A22" s="7" t="n">
        <v>15</v>
      </c>
      <c r="B22" s="7" t="s">
        <v>89</v>
      </c>
      <c r="C22" s="7" t="s">
        <v>16</v>
      </c>
      <c r="D22" s="8" t="s">
        <v>90</v>
      </c>
      <c r="E22" s="8" t="s">
        <v>91</v>
      </c>
      <c r="F22" s="9" t="s">
        <v>33</v>
      </c>
      <c r="G22" s="10" t="s">
        <v>20</v>
      </c>
      <c r="H22" s="9" t="s">
        <v>83</v>
      </c>
      <c r="I22" s="9" t="s">
        <v>92</v>
      </c>
    </row>
    <row r="23" customFormat="false" ht="100.5" hidden="false" customHeight="true" outlineLevel="0" collapsed="false">
      <c r="A23" s="11" t="n">
        <v>16</v>
      </c>
      <c r="B23" s="11" t="s">
        <v>93</v>
      </c>
      <c r="C23" s="11" t="s">
        <v>64</v>
      </c>
      <c r="D23" s="12" t="s">
        <v>94</v>
      </c>
      <c r="E23" s="12" t="s">
        <v>95</v>
      </c>
      <c r="F23" s="13" t="s">
        <v>61</v>
      </c>
      <c r="G23" s="10" t="s">
        <v>20</v>
      </c>
      <c r="H23" s="13" t="s">
        <v>83</v>
      </c>
      <c r="I23" s="13" t="s">
        <v>96</v>
      </c>
    </row>
    <row r="24" customFormat="false" ht="114" hidden="false" customHeight="true" outlineLevel="0" collapsed="false">
      <c r="A24" s="7" t="n">
        <v>17</v>
      </c>
      <c r="B24" s="7" t="s">
        <v>97</v>
      </c>
      <c r="C24" s="7" t="s">
        <v>30</v>
      </c>
      <c r="D24" s="8" t="s">
        <v>98</v>
      </c>
      <c r="E24" s="8" t="s">
        <v>99</v>
      </c>
      <c r="F24" s="9" t="s">
        <v>19</v>
      </c>
      <c r="G24" s="10" t="s">
        <v>20</v>
      </c>
      <c r="H24" s="9" t="s">
        <v>100</v>
      </c>
      <c r="I24" s="9" t="s">
        <v>101</v>
      </c>
    </row>
    <row r="25" customFormat="false" ht="100.5" hidden="false" customHeight="true" outlineLevel="0" collapsed="false">
      <c r="A25" s="11" t="n">
        <v>18</v>
      </c>
      <c r="B25" s="11" t="s">
        <v>102</v>
      </c>
      <c r="C25" s="11" t="s">
        <v>64</v>
      </c>
      <c r="D25" s="12" t="s">
        <v>103</v>
      </c>
      <c r="E25" s="12" t="s">
        <v>104</v>
      </c>
      <c r="F25" s="13" t="s">
        <v>19</v>
      </c>
      <c r="G25" s="10" t="s">
        <v>20</v>
      </c>
      <c r="H25" s="13" t="s">
        <v>100</v>
      </c>
      <c r="I25" s="13" t="s">
        <v>105</v>
      </c>
    </row>
    <row r="26" customFormat="false" ht="114" hidden="false" customHeight="true" outlineLevel="0" collapsed="false">
      <c r="A26" s="7" t="n">
        <v>19</v>
      </c>
      <c r="B26" s="7" t="s">
        <v>106</v>
      </c>
      <c r="C26" s="7" t="s">
        <v>64</v>
      </c>
      <c r="D26" s="8" t="s">
        <v>107</v>
      </c>
      <c r="E26" s="8" t="s">
        <v>108</v>
      </c>
      <c r="F26" s="9" t="s">
        <v>76</v>
      </c>
      <c r="G26" s="10" t="s">
        <v>20</v>
      </c>
      <c r="H26" s="9" t="s">
        <v>109</v>
      </c>
      <c r="I26" s="9" t="s">
        <v>110</v>
      </c>
    </row>
    <row r="27" customFormat="false" ht="73.5" hidden="false" customHeight="true" outlineLevel="0" collapsed="false">
      <c r="A27" s="11" t="n">
        <v>20</v>
      </c>
      <c r="B27" s="11" t="s">
        <v>111</v>
      </c>
      <c r="C27" s="11" t="s">
        <v>64</v>
      </c>
      <c r="D27" s="12" t="s">
        <v>112</v>
      </c>
      <c r="E27" s="12" t="s">
        <v>113</v>
      </c>
      <c r="F27" s="13" t="s">
        <v>67</v>
      </c>
      <c r="G27" s="10" t="s">
        <v>20</v>
      </c>
      <c r="H27" s="13" t="s">
        <v>114</v>
      </c>
      <c r="I27" s="13" t="s">
        <v>115</v>
      </c>
    </row>
    <row r="28" customFormat="false" ht="73.5" hidden="false" customHeight="true" outlineLevel="0" collapsed="false">
      <c r="A28" s="7" t="n">
        <v>21</v>
      </c>
      <c r="B28" s="7" t="s">
        <v>116</v>
      </c>
      <c r="C28" s="7" t="s">
        <v>64</v>
      </c>
      <c r="D28" s="8" t="s">
        <v>117</v>
      </c>
      <c r="E28" s="8" t="s">
        <v>118</v>
      </c>
      <c r="F28" s="9" t="s">
        <v>67</v>
      </c>
      <c r="G28" s="10" t="s">
        <v>20</v>
      </c>
      <c r="H28" s="9" t="s">
        <v>119</v>
      </c>
      <c r="I28" s="9" t="s">
        <v>120</v>
      </c>
    </row>
    <row r="29" customFormat="false" ht="73.5" hidden="false" customHeight="true" outlineLevel="0" collapsed="false">
      <c r="A29" s="11" t="n">
        <v>22</v>
      </c>
      <c r="B29" s="11" t="s">
        <v>121</v>
      </c>
      <c r="C29" s="11" t="s">
        <v>16</v>
      </c>
      <c r="D29" s="12" t="s">
        <v>122</v>
      </c>
      <c r="E29" s="12" t="s">
        <v>123</v>
      </c>
      <c r="F29" s="13" t="s">
        <v>67</v>
      </c>
      <c r="G29" s="10" t="s">
        <v>20</v>
      </c>
      <c r="H29" s="13" t="s">
        <v>119</v>
      </c>
      <c r="I29" s="13" t="s">
        <v>124</v>
      </c>
    </row>
  </sheetData>
  <mergeCells count="3">
    <mergeCell ref="A4:B4"/>
    <mergeCell ref="C4:D4"/>
    <mergeCell ref="E4:I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K10" activeCellId="0" sqref="K1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0"/>
    <col collapsed="false" customWidth="true" hidden="false" outlineLevel="0" max="8" min="3" style="1" width="15"/>
    <col collapsed="false" customWidth="true" hidden="false" outlineLevel="0" max="10" min="9" style="1" width="14"/>
    <col collapsed="false" customWidth="true" hidden="false" outlineLevel="0" max="11" min="11" style="1" width="30"/>
  </cols>
  <sheetData>
    <row r="1" customFormat="false" ht="17.35" hidden="false" customHeight="false" outlineLevel="0" collapsed="false">
      <c r="A1" s="2" t="s">
        <v>125</v>
      </c>
    </row>
    <row r="2" customFormat="false" ht="15" hidden="false" customHeight="false" outlineLevel="0" collapsed="false">
      <c r="A2" s="3" t="s">
        <v>126</v>
      </c>
    </row>
    <row r="4" customFormat="false" ht="30" hidden="false" customHeight="true" outlineLevel="0" collapsed="false">
      <c r="A4" s="6" t="s">
        <v>127</v>
      </c>
      <c r="B4" s="6" t="s">
        <v>128</v>
      </c>
      <c r="C4" s="6" t="s">
        <v>129</v>
      </c>
      <c r="D4" s="6"/>
      <c r="E4" s="6"/>
      <c r="F4" s="6" t="s">
        <v>130</v>
      </c>
      <c r="G4" s="6"/>
      <c r="H4" s="6"/>
      <c r="I4" s="6" t="s">
        <v>131</v>
      </c>
      <c r="J4" s="6" t="s">
        <v>132</v>
      </c>
      <c r="K4" s="6" t="s">
        <v>133</v>
      </c>
    </row>
    <row r="5" customFormat="false" ht="30" hidden="false" customHeight="true" outlineLevel="0" collapsed="false">
      <c r="A5" s="6"/>
      <c r="B5" s="6"/>
      <c r="C5" s="6" t="s">
        <v>19</v>
      </c>
      <c r="D5" s="6" t="s">
        <v>33</v>
      </c>
      <c r="E5" s="6" t="s">
        <v>67</v>
      </c>
      <c r="F5" s="6" t="s">
        <v>19</v>
      </c>
      <c r="G5" s="6" t="s">
        <v>33</v>
      </c>
      <c r="H5" s="6" t="s">
        <v>67</v>
      </c>
      <c r="I5" s="6"/>
      <c r="J5" s="6"/>
      <c r="K5" s="6"/>
    </row>
    <row r="6" customFormat="false" ht="31.5" hidden="false" customHeight="true" outlineLevel="0" collapsed="false">
      <c r="A6" s="7" t="s">
        <v>134</v>
      </c>
      <c r="B6" s="8" t="s">
        <v>135</v>
      </c>
      <c r="C6" s="9" t="s">
        <v>136</v>
      </c>
      <c r="D6" s="9" t="s">
        <v>137</v>
      </c>
      <c r="E6" s="9" t="s">
        <v>137</v>
      </c>
      <c r="F6" s="9" t="n">
        <f aca="false">SUMPRODUCT(ISNUMBER(SEARCH("; "&amp;$A6&amp;";","; "&amp;Реєстр!$H$8:$H$29&amp;";"))*ISNUMBER(SEARCH(C$5,Реєстр!$F$8:$F$29)))</f>
        <v>0</v>
      </c>
      <c r="G6" s="9" t="n">
        <f aca="false">SUMPRODUCT(ISNUMBER(SEARCH("; "&amp;$A6&amp;";","; "&amp;Реєстр!$H$8:$H$29&amp;";"))*ISNUMBER(SEARCH(D$5,Реєстр!$F$8:$F$29)))</f>
        <v>0</v>
      </c>
      <c r="H6" s="9" t="n">
        <f aca="false">SUMPRODUCT(ISNUMBER(SEARCH("; "&amp;$A6&amp;";","; "&amp;Реєстр!$H$8:$H$29&amp;";"))*ISNUMBER(SEARCH(E$5,Реєстр!$F$8:$F$29)))</f>
        <v>0</v>
      </c>
      <c r="I6" s="9" t="n">
        <f aca="false">SUMPRODUCT(--(((C6:E6="✓")+(F6:H6&gt;0))&gt;0))</f>
        <v>1</v>
      </c>
      <c r="J6" s="9" t="n">
        <f aca="false">SUMPRODUCT(ISNUMBER(SEARCH("; "&amp;$A6&amp;";","; "&amp;Реєстр!$H$8:$H$29&amp;";"))*(Реєстр!$G$8:$G$29&lt;&gt;"Відхилено після обговорення"))</f>
        <v>0</v>
      </c>
      <c r="K6" s="9" t="str">
        <f aca="false">IF(I6&gt;=2,"так","ні — потрібна друга вичитка")</f>
        <v>ні — потрібна друга вичитка</v>
      </c>
    </row>
    <row r="7" customFormat="false" ht="31.5" hidden="false" customHeight="true" outlineLevel="0" collapsed="false">
      <c r="A7" s="11" t="s">
        <v>21</v>
      </c>
      <c r="B7" s="12" t="s">
        <v>138</v>
      </c>
      <c r="C7" s="13" t="s">
        <v>136</v>
      </c>
      <c r="D7" s="13" t="s">
        <v>136</v>
      </c>
      <c r="E7" s="13" t="s">
        <v>137</v>
      </c>
      <c r="F7" s="13" t="n">
        <f aca="false">SUMPRODUCT(ISNUMBER(SEARCH("; "&amp;$A7&amp;";","; "&amp;Реєстр!$H$8:$H$29&amp;";"))*ISNUMBER(SEARCH(C$5,Реєстр!$F$8:$F$29)))</f>
        <v>4</v>
      </c>
      <c r="G7" s="13" t="n">
        <f aca="false">SUMPRODUCT(ISNUMBER(SEARCH("; "&amp;$A7&amp;";","; "&amp;Реєстр!$H$8:$H$29&amp;";"))*ISNUMBER(SEARCH(D$5,Реєстр!$F$8:$F$29)))</f>
        <v>3</v>
      </c>
      <c r="H7" s="13" t="n">
        <f aca="false">SUMPRODUCT(ISNUMBER(SEARCH("; "&amp;$A7&amp;";","; "&amp;Реєстр!$H$8:$H$29&amp;";"))*ISNUMBER(SEARCH(E$5,Реєстр!$F$8:$F$29)))</f>
        <v>0</v>
      </c>
      <c r="I7" s="13" t="n">
        <f aca="false">SUMPRODUCT(--(((C7:E7="✓")+(F7:H7&gt;0))&gt;0))</f>
        <v>2</v>
      </c>
      <c r="J7" s="13" t="n">
        <f aca="false">SUMPRODUCT(ISNUMBER(SEARCH("; "&amp;$A7&amp;";","; "&amp;Реєстр!$H$8:$H$29&amp;";"))*(Реєстр!$G$8:$G$29&lt;&gt;"Відхилено після обговорення"))</f>
        <v>7</v>
      </c>
      <c r="K7" s="13" t="str">
        <f aca="false">IF(I7&gt;=2,"так","ні — потрібна друга вичитка")</f>
        <v>так</v>
      </c>
    </row>
    <row r="8" customFormat="false" ht="31.5" hidden="false" customHeight="true" outlineLevel="0" collapsed="false">
      <c r="A8" s="7" t="s">
        <v>56</v>
      </c>
      <c r="B8" s="8" t="s">
        <v>139</v>
      </c>
      <c r="C8" s="9" t="s">
        <v>137</v>
      </c>
      <c r="D8" s="9" t="s">
        <v>136</v>
      </c>
      <c r="E8" s="9" t="s">
        <v>136</v>
      </c>
      <c r="F8" s="9" t="n">
        <f aca="false">SUMPRODUCT(ISNUMBER(SEARCH("; "&amp;$A8&amp;";","; "&amp;Реєстр!$H$8:$H$29&amp;";"))*ISNUMBER(SEARCH(C$5,Реєстр!$F$8:$F$29)))</f>
        <v>1</v>
      </c>
      <c r="G8" s="9" t="n">
        <f aca="false">SUMPRODUCT(ISNUMBER(SEARCH("; "&amp;$A8&amp;";","; "&amp;Реєстр!$H$8:$H$29&amp;";"))*ISNUMBER(SEARCH(D$5,Реєстр!$F$8:$F$29)))</f>
        <v>2</v>
      </c>
      <c r="H8" s="9" t="n">
        <f aca="false">SUMPRODUCT(ISNUMBER(SEARCH("; "&amp;$A8&amp;";","; "&amp;Реєстр!$H$8:$H$29&amp;";"))*ISNUMBER(SEARCH(E$5,Реєстр!$F$8:$F$29)))</f>
        <v>4</v>
      </c>
      <c r="I8" s="9" t="n">
        <f aca="false">SUMPRODUCT(--(((C8:E8="✓")+(F8:H8&gt;0))&gt;0))</f>
        <v>3</v>
      </c>
      <c r="J8" s="9" t="n">
        <f aca="false">SUMPRODUCT(ISNUMBER(SEARCH("; "&amp;$A8&amp;";","; "&amp;Реєстр!$H$8:$H$29&amp;";"))*(Реєстр!$G$8:$G$29&lt;&gt;"Відхилено після обговорення"))</f>
        <v>5</v>
      </c>
      <c r="K8" s="9" t="str">
        <f aca="false">IF(I8&gt;=2,"так","ні — потрібна друга вичитка")</f>
        <v>так</v>
      </c>
    </row>
    <row r="9" customFormat="false" ht="31.5" hidden="false" customHeight="true" outlineLevel="0" collapsed="false">
      <c r="A9" s="11" t="s">
        <v>83</v>
      </c>
      <c r="B9" s="12" t="s">
        <v>140</v>
      </c>
      <c r="C9" s="13" t="s">
        <v>137</v>
      </c>
      <c r="D9" s="13" t="s">
        <v>136</v>
      </c>
      <c r="E9" s="13" t="s">
        <v>136</v>
      </c>
      <c r="F9" s="13" t="n">
        <f aca="false">SUMPRODUCT(ISNUMBER(SEARCH("; "&amp;$A9&amp;";","; "&amp;Реєстр!$H$8:$H$29&amp;";"))*ISNUMBER(SEARCH(C$5,Реєстр!$F$8:$F$29)))</f>
        <v>1</v>
      </c>
      <c r="G9" s="13" t="n">
        <f aca="false">SUMPRODUCT(ISNUMBER(SEARCH("; "&amp;$A9&amp;";","; "&amp;Реєстр!$H$8:$H$29&amp;";"))*ISNUMBER(SEARCH(D$5,Реєстр!$F$8:$F$29)))</f>
        <v>4</v>
      </c>
      <c r="H9" s="13" t="n">
        <f aca="false">SUMPRODUCT(ISNUMBER(SEARCH("; "&amp;$A9&amp;";","; "&amp;Реєстр!$H$8:$H$29&amp;";"))*ISNUMBER(SEARCH(E$5,Реєстр!$F$8:$F$29)))</f>
        <v>3</v>
      </c>
      <c r="I9" s="13" t="n">
        <f aca="false">SUMPRODUCT(--(((C9:E9="✓")+(F9:H9&gt;0))&gt;0))</f>
        <v>3</v>
      </c>
      <c r="J9" s="13" t="n">
        <f aca="false">SUMPRODUCT(ISNUMBER(SEARCH("; "&amp;$A9&amp;";","; "&amp;Реєстр!$H$8:$H$29&amp;";"))*(Реєстр!$G$8:$G$29&lt;&gt;"Відхилено після обговорення"))</f>
        <v>5</v>
      </c>
      <c r="K9" s="13" t="str">
        <f aca="false">IF(I9&gt;=2,"так","ні — потрібна друга вичитка")</f>
        <v>так</v>
      </c>
    </row>
    <row r="10" customFormat="false" ht="31.5" hidden="false" customHeight="true" outlineLevel="0" collapsed="false">
      <c r="A10" s="7" t="s">
        <v>100</v>
      </c>
      <c r="B10" s="8" t="s">
        <v>141</v>
      </c>
      <c r="C10" s="9" t="s">
        <v>136</v>
      </c>
      <c r="D10" s="9" t="s">
        <v>137</v>
      </c>
      <c r="E10" s="9" t="s">
        <v>137</v>
      </c>
      <c r="F10" s="9" t="n">
        <f aca="false">SUMPRODUCT(ISNUMBER(SEARCH("; "&amp;$A10&amp;";","; "&amp;Реєстр!$H$8:$H$29&amp;";"))*ISNUMBER(SEARCH(C$5,Реєстр!$F$8:$F$29)))</f>
        <v>2</v>
      </c>
      <c r="G10" s="9" t="n">
        <f aca="false">SUMPRODUCT(ISNUMBER(SEARCH("; "&amp;$A10&amp;";","; "&amp;Реєстр!$H$8:$H$29&amp;";"))*ISNUMBER(SEARCH(D$5,Реєстр!$F$8:$F$29)))</f>
        <v>0</v>
      </c>
      <c r="H10" s="9" t="n">
        <f aca="false">SUMPRODUCT(ISNUMBER(SEARCH("; "&amp;$A10&amp;";","; "&amp;Реєстр!$H$8:$H$29&amp;";"))*ISNUMBER(SEARCH(E$5,Реєстр!$F$8:$F$29)))</f>
        <v>0</v>
      </c>
      <c r="I10" s="9" t="n">
        <f aca="false">SUMPRODUCT(--(((C10:E10="✓")+(F10:H10&gt;0))&gt;0))</f>
        <v>1</v>
      </c>
      <c r="J10" s="9" t="n">
        <f aca="false">SUMPRODUCT(ISNUMBER(SEARCH("; "&amp;$A10&amp;";","; "&amp;Реєстр!$H$8:$H$29&amp;";"))*(Реєстр!$G$8:$G$29&lt;&gt;"Відхилено після обговорення"))</f>
        <v>2</v>
      </c>
      <c r="K10" s="9" t="str">
        <f aca="false">IF(I10&gt;=2,"так","ні — потрібна друга вичитка")</f>
        <v>ні — потрібна друга вичитка</v>
      </c>
    </row>
    <row r="11" customFormat="false" ht="31.5" hidden="false" customHeight="true" outlineLevel="0" collapsed="false">
      <c r="A11" s="11" t="s">
        <v>109</v>
      </c>
      <c r="B11" s="12" t="s">
        <v>142</v>
      </c>
      <c r="C11" s="13" t="s">
        <v>136</v>
      </c>
      <c r="D11" s="13" t="s">
        <v>137</v>
      </c>
      <c r="E11" s="13" t="s">
        <v>137</v>
      </c>
      <c r="F11" s="13" t="n">
        <f aca="false">SUMPRODUCT(ISNUMBER(SEARCH("; "&amp;$A11&amp;";","; "&amp;Реєстр!$H$8:$H$29&amp;";"))*ISNUMBER(SEARCH(C$5,Реєстр!$F$8:$F$29)))</f>
        <v>2</v>
      </c>
      <c r="G11" s="13" t="n">
        <f aca="false">SUMPRODUCT(ISNUMBER(SEARCH("; "&amp;$A11&amp;";","; "&amp;Реєстр!$H$8:$H$29&amp;";"))*ISNUMBER(SEARCH(D$5,Реєстр!$F$8:$F$29)))</f>
        <v>0</v>
      </c>
      <c r="H11" s="13" t="n">
        <f aca="false">SUMPRODUCT(ISNUMBER(SEARCH("; "&amp;$A11&amp;";","; "&amp;Реєстр!$H$8:$H$29&amp;";"))*ISNUMBER(SEARCH(E$5,Реєстр!$F$8:$F$29)))</f>
        <v>2</v>
      </c>
      <c r="I11" s="13" t="n">
        <f aca="false">SUMPRODUCT(--(((C11:E11="✓")+(F11:H11&gt;0))&gt;0))</f>
        <v>2</v>
      </c>
      <c r="J11" s="13" t="n">
        <f aca="false">SUMPRODUCT(ISNUMBER(SEARCH("; "&amp;$A11&amp;";","; "&amp;Реєстр!$H$8:$H$29&amp;";"))*(Реєстр!$G$8:$G$29&lt;&gt;"Відхилено після обговорення"))</f>
        <v>2</v>
      </c>
      <c r="K11" s="13" t="str">
        <f aca="false">IF(I11&gt;=2,"так","ні — потрібна друга вичитка")</f>
        <v>так</v>
      </c>
    </row>
    <row r="12" customFormat="false" ht="31.5" hidden="false" customHeight="true" outlineLevel="0" collapsed="false">
      <c r="A12" s="7" t="s">
        <v>114</v>
      </c>
      <c r="B12" s="8" t="s">
        <v>143</v>
      </c>
      <c r="C12" s="9" t="s">
        <v>137</v>
      </c>
      <c r="D12" s="9" t="s">
        <v>137</v>
      </c>
      <c r="E12" s="9" t="s">
        <v>136</v>
      </c>
      <c r="F12" s="9" t="n">
        <f aca="false">SUMPRODUCT(ISNUMBER(SEARCH("; "&amp;$A12&amp;";","; "&amp;Реєстр!$H$8:$H$29&amp;";"))*ISNUMBER(SEARCH(C$5,Реєстр!$F$8:$F$29)))</f>
        <v>0</v>
      </c>
      <c r="G12" s="9" t="n">
        <f aca="false">SUMPRODUCT(ISNUMBER(SEARCH("; "&amp;$A12&amp;";","; "&amp;Реєстр!$H$8:$H$29&amp;";"))*ISNUMBER(SEARCH(D$5,Реєстр!$F$8:$F$29)))</f>
        <v>0</v>
      </c>
      <c r="H12" s="9" t="n">
        <f aca="false">SUMPRODUCT(ISNUMBER(SEARCH("; "&amp;$A12&amp;";","; "&amp;Реєстр!$H$8:$H$29&amp;";"))*ISNUMBER(SEARCH(E$5,Реєстр!$F$8:$F$29)))</f>
        <v>1</v>
      </c>
      <c r="I12" s="9" t="n">
        <f aca="false">SUMPRODUCT(--(((C12:E12="✓")+(F12:H12&gt;0))&gt;0))</f>
        <v>1</v>
      </c>
      <c r="J12" s="9" t="n">
        <f aca="false">SUMPRODUCT(ISNUMBER(SEARCH("; "&amp;$A12&amp;";","; "&amp;Реєстр!$H$8:$H$29&amp;";"))*(Реєстр!$G$8:$G$29&lt;&gt;"Відхилено після обговорення"))</f>
        <v>1</v>
      </c>
      <c r="K12" s="9" t="str">
        <f aca="false">IF(I12&gt;=2,"так","ні — потрібна друга вичитка")</f>
        <v>ні — потрібна друга вичитка</v>
      </c>
    </row>
    <row r="13" customFormat="false" ht="31.5" hidden="false" customHeight="true" outlineLevel="0" collapsed="false">
      <c r="A13" s="11" t="s">
        <v>119</v>
      </c>
      <c r="B13" s="12" t="s">
        <v>144</v>
      </c>
      <c r="C13" s="13" t="s">
        <v>137</v>
      </c>
      <c r="D13" s="13" t="s">
        <v>137</v>
      </c>
      <c r="E13" s="13" t="s">
        <v>136</v>
      </c>
      <c r="F13" s="13" t="n">
        <f aca="false">SUMPRODUCT(ISNUMBER(SEARCH("; "&amp;$A13&amp;";","; "&amp;Реєстр!$H$8:$H$29&amp;";"))*ISNUMBER(SEARCH(C$5,Реєстр!$F$8:$F$29)))</f>
        <v>0</v>
      </c>
      <c r="G13" s="13" t="n">
        <f aca="false">SUMPRODUCT(ISNUMBER(SEARCH("; "&amp;$A13&amp;";","; "&amp;Реєстр!$H$8:$H$29&amp;";"))*ISNUMBER(SEARCH(D$5,Реєстр!$F$8:$F$29)))</f>
        <v>0</v>
      </c>
      <c r="H13" s="13" t="n">
        <f aca="false">SUMPRODUCT(ISNUMBER(SEARCH("; "&amp;$A13&amp;";","; "&amp;Реєстр!$H$8:$H$29&amp;";"))*ISNUMBER(SEARCH(E$5,Реєстр!$F$8:$F$29)))</f>
        <v>2</v>
      </c>
      <c r="I13" s="13" t="n">
        <f aca="false">SUMPRODUCT(--(((C13:E13="✓")+(F13:H13&gt;0))&gt;0))</f>
        <v>1</v>
      </c>
      <c r="J13" s="13" t="n">
        <f aca="false">SUMPRODUCT(ISNUMBER(SEARCH("; "&amp;$A13&amp;";","; "&amp;Реєстр!$H$8:$H$29&amp;";"))*(Реєстр!$G$8:$G$29&lt;&gt;"Відхилено після обговорення"))</f>
        <v>2</v>
      </c>
      <c r="K13" s="13" t="str">
        <f aca="false">IF(I13&gt;=2,"так","ні — потрібна друга вичитка")</f>
        <v>ні — потрібна друга вичитка</v>
      </c>
    </row>
    <row r="15" customFormat="false" ht="15" hidden="false" customHeight="false" outlineLevel="0" collapsed="false">
      <c r="A15" s="15" t="s">
        <v>145</v>
      </c>
    </row>
    <row r="16" customFormat="false" ht="30" hidden="false" customHeight="true" outlineLevel="0" collapsed="false">
      <c r="A16" s="16" t="s">
        <v>146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customFormat="false" ht="30" hidden="false" customHeight="true" outlineLevel="0" collapsed="false">
      <c r="A17" s="16" t="s">
        <v>147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customFormat="false" ht="30" hidden="false" customHeight="true" outlineLevel="0" collapsed="false">
      <c r="A18" s="16" t="s">
        <v>148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20" customFormat="false" ht="15" hidden="false" customHeight="false" outlineLevel="0" collapsed="false">
      <c r="A20" s="15" t="s">
        <v>149</v>
      </c>
    </row>
    <row r="21" customFormat="false" ht="15" hidden="false" customHeight="false" outlineLevel="0" collapsed="false">
      <c r="B21" s="17" t="s">
        <v>8</v>
      </c>
      <c r="C21" s="17" t="s">
        <v>150</v>
      </c>
      <c r="D21" s="17" t="s">
        <v>151</v>
      </c>
      <c r="E21" s="17" t="s">
        <v>152</v>
      </c>
    </row>
    <row r="22" customFormat="false" ht="15" hidden="false" customHeight="false" outlineLevel="0" collapsed="false">
      <c r="B22" s="18" t="s">
        <v>36</v>
      </c>
      <c r="C22" s="19" t="n">
        <f aca="false">COUNTIFS(Реєстр!$C$8:$C$29,B22,Реєстр!$G$8:$G$29,"&lt;&gt;Відхилено після обговорення")</f>
        <v>2</v>
      </c>
      <c r="D22" s="19" t="n">
        <v>2</v>
      </c>
      <c r="E22" s="19" t="str">
        <f aca="false">IF(C22&gt;=D22,"так","ні")</f>
        <v>так</v>
      </c>
    </row>
    <row r="23" customFormat="false" ht="15" hidden="false" customHeight="false" outlineLevel="0" collapsed="false">
      <c r="B23" s="18" t="s">
        <v>16</v>
      </c>
      <c r="C23" s="19" t="n">
        <f aca="false">COUNTIFS(Реєстр!$C$8:$C$29,B23,Реєстр!$G$8:$G$29,"&lt;&gt;Відхилено після обговорення")</f>
        <v>4</v>
      </c>
      <c r="D23" s="19" t="n">
        <v>2</v>
      </c>
      <c r="E23" s="19" t="str">
        <f aca="false">IF(C23&gt;=D23,"так","ні")</f>
        <v>так</v>
      </c>
    </row>
    <row r="24" customFormat="false" ht="15" hidden="false" customHeight="false" outlineLevel="0" collapsed="false">
      <c r="B24" s="18" t="s">
        <v>24</v>
      </c>
      <c r="C24" s="19" t="n">
        <f aca="false">COUNTIFS(Реєстр!$C$8:$C$29,B24,Реєстр!$G$8:$G$29,"&lt;&gt;Відхилено після обговорення")</f>
        <v>3</v>
      </c>
      <c r="D24" s="19" t="n">
        <v>2</v>
      </c>
      <c r="E24" s="19" t="str">
        <f aca="false">IF(C24&gt;=D24,"так","ні")</f>
        <v>так</v>
      </c>
    </row>
    <row r="25" customFormat="false" ht="15" hidden="false" customHeight="false" outlineLevel="0" collapsed="false">
      <c r="B25" s="18" t="s">
        <v>49</v>
      </c>
      <c r="C25" s="19" t="n">
        <f aca="false">COUNTIFS(Реєстр!$C$8:$C$29,B25,Реєстр!$G$8:$G$29,"&lt;&gt;Відхилено після обговорення")</f>
        <v>3</v>
      </c>
      <c r="D25" s="19" t="n">
        <v>2</v>
      </c>
      <c r="E25" s="19" t="str">
        <f aca="false">IF(C25&gt;=D25,"так","ні")</f>
        <v>так</v>
      </c>
    </row>
    <row r="26" customFormat="false" ht="15" hidden="false" customHeight="false" outlineLevel="0" collapsed="false">
      <c r="B26" s="18" t="s">
        <v>30</v>
      </c>
      <c r="C26" s="19" t="n">
        <f aca="false">COUNTIFS(Реєстр!$C$8:$C$29,B26,Реєстр!$G$8:$G$29,"&lt;&gt;Відхилено після обговорення")</f>
        <v>3</v>
      </c>
      <c r="D26" s="19" t="n">
        <v>2</v>
      </c>
      <c r="E26" s="19" t="str">
        <f aca="false">IF(C26&gt;=D26,"так","ні")</f>
        <v>так</v>
      </c>
    </row>
    <row r="27" customFormat="false" ht="15" hidden="false" customHeight="false" outlineLevel="0" collapsed="false">
      <c r="B27" s="18" t="s">
        <v>64</v>
      </c>
      <c r="C27" s="19" t="n">
        <f aca="false">COUNTIFS(Реєстр!$C$8:$C$29,B27,Реєстр!$G$8:$G$29,"&lt;&gt;Відхилено після обговорення")</f>
        <v>6</v>
      </c>
      <c r="D27" s="19" t="n">
        <v>2</v>
      </c>
      <c r="E27" s="19" t="str">
        <f aca="false">IF(C27&gt;=D27,"так","ні")</f>
        <v>так</v>
      </c>
    </row>
    <row r="28" customFormat="false" ht="15" hidden="false" customHeight="false" outlineLevel="0" collapsed="false">
      <c r="B28" s="20" t="s">
        <v>153</v>
      </c>
      <c r="C28" s="21" t="n">
        <f aca="false">SUM(C22:C27)</f>
        <v>21</v>
      </c>
      <c r="D28" s="21" t="n">
        <v>12</v>
      </c>
      <c r="E28" s="21" t="str">
        <f aca="false">IF(C28&gt;=D28,"так","ні")</f>
        <v>так</v>
      </c>
    </row>
  </sheetData>
  <mergeCells count="10">
    <mergeCell ref="A4:A5"/>
    <mergeCell ref="B4:B5"/>
    <mergeCell ref="C4:E4"/>
    <mergeCell ref="F4:H4"/>
    <mergeCell ref="I4:I5"/>
    <mergeCell ref="J4:J5"/>
    <mergeCell ref="K4:K5"/>
    <mergeCell ref="A16:K16"/>
    <mergeCell ref="A17:K17"/>
    <mergeCell ref="A18:K18"/>
  </mergeCells>
  <conditionalFormatting sqref="K6:K13">
    <cfRule type="expression" priority="2" aboveAverage="0" equalAverage="0" bottom="0" percent="0" rank="0" text="" dxfId="0">
      <formula>LEFT(K6,2)="ні"</formula>
    </cfRule>
    <cfRule type="expression" priority="3" aboveAverage="0" equalAverage="0" bottom="0" percent="0" rank="0" text="" dxfId="1">
      <formula>K6="так"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F17" activeCellId="0" sqref="F1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5" min="4" style="1" width="38"/>
    <col collapsed="false" customWidth="true" hidden="false" outlineLevel="0" max="6" min="6" style="1" width="46"/>
    <col collapsed="false" customWidth="true" hidden="false" outlineLevel="0" max="7" min="7" style="1" width="44"/>
    <col collapsed="false" customWidth="true" hidden="false" outlineLevel="0" max="8" min="8" style="1" width="18"/>
  </cols>
  <sheetData>
    <row r="1" customFormat="false" ht="17.35" hidden="false" customHeight="false" outlineLevel="0" collapsed="false">
      <c r="A1" s="2" t="s">
        <v>154</v>
      </c>
    </row>
    <row r="2" customFormat="false" ht="15" hidden="false" customHeight="false" outlineLevel="0" collapsed="false">
      <c r="A2" s="3" t="s">
        <v>155</v>
      </c>
    </row>
    <row r="4" customFormat="false" ht="30" hidden="false" customHeight="true" outlineLevel="0" collapsed="false">
      <c r="A4" s="6" t="s">
        <v>6</v>
      </c>
      <c r="B4" s="6" t="s">
        <v>156</v>
      </c>
      <c r="C4" s="6" t="s">
        <v>157</v>
      </c>
      <c r="D4" s="6" t="s">
        <v>158</v>
      </c>
      <c r="E4" s="6" t="s">
        <v>159</v>
      </c>
      <c r="F4" s="6" t="s">
        <v>160</v>
      </c>
      <c r="G4" s="6" t="s">
        <v>161</v>
      </c>
      <c r="H4" s="6" t="s">
        <v>12</v>
      </c>
    </row>
    <row r="5" customFormat="false" ht="67.5" hidden="false" customHeight="true" outlineLevel="0" collapsed="false">
      <c r="A5" s="7" t="n">
        <v>1</v>
      </c>
      <c r="B5" s="7" t="s">
        <v>162</v>
      </c>
      <c r="C5" s="8" t="s">
        <v>163</v>
      </c>
      <c r="D5" s="8" t="s">
        <v>164</v>
      </c>
      <c r="E5" s="8" t="s">
        <v>165</v>
      </c>
      <c r="F5" s="8" t="s">
        <v>166</v>
      </c>
      <c r="G5" s="8" t="s">
        <v>167</v>
      </c>
      <c r="H5" s="14" t="s">
        <v>82</v>
      </c>
    </row>
    <row r="6" customFormat="false" ht="75" hidden="false" customHeight="true" outlineLevel="0" collapsed="false">
      <c r="A6" s="11" t="n">
        <v>2</v>
      </c>
      <c r="B6" s="11" t="s">
        <v>168</v>
      </c>
      <c r="C6" s="12" t="s">
        <v>169</v>
      </c>
      <c r="D6" s="12" t="s">
        <v>170</v>
      </c>
      <c r="E6" s="12" t="s">
        <v>171</v>
      </c>
      <c r="F6" s="12" t="s">
        <v>172</v>
      </c>
      <c r="G6" s="12" t="s">
        <v>173</v>
      </c>
      <c r="H6" s="10" t="s">
        <v>174</v>
      </c>
    </row>
    <row r="7" customFormat="false" ht="67.5" hidden="false" customHeight="true" outlineLevel="0" collapsed="false">
      <c r="A7" s="7" t="n">
        <v>3</v>
      </c>
      <c r="B7" s="7" t="s">
        <v>175</v>
      </c>
      <c r="C7" s="8" t="s">
        <v>176</v>
      </c>
      <c r="D7" s="8" t="s">
        <v>177</v>
      </c>
      <c r="E7" s="8" t="s">
        <v>178</v>
      </c>
      <c r="F7" s="8" t="s">
        <v>179</v>
      </c>
      <c r="G7" s="8" t="s">
        <v>180</v>
      </c>
      <c r="H7" s="10" t="s">
        <v>174</v>
      </c>
    </row>
    <row r="8" customFormat="false" ht="75" hidden="false" customHeight="true" outlineLevel="0" collapsed="false">
      <c r="A8" s="11" t="n">
        <v>4</v>
      </c>
      <c r="B8" s="11" t="s">
        <v>181</v>
      </c>
      <c r="C8" s="12" t="s">
        <v>182</v>
      </c>
      <c r="D8" s="12" t="s">
        <v>183</v>
      </c>
      <c r="E8" s="12" t="s">
        <v>184</v>
      </c>
      <c r="F8" s="12" t="s">
        <v>185</v>
      </c>
      <c r="G8" s="12" t="s">
        <v>186</v>
      </c>
      <c r="H8" s="10" t="s">
        <v>174</v>
      </c>
    </row>
    <row r="9" customFormat="false" ht="67.5" hidden="false" customHeight="true" outlineLevel="0" collapsed="false">
      <c r="A9" s="7" t="n">
        <v>5</v>
      </c>
      <c r="B9" s="7" t="s">
        <v>187</v>
      </c>
      <c r="C9" s="8" t="s">
        <v>188</v>
      </c>
      <c r="D9" s="8" t="s">
        <v>189</v>
      </c>
      <c r="E9" s="8" t="s">
        <v>190</v>
      </c>
      <c r="F9" s="8" t="s">
        <v>191</v>
      </c>
      <c r="G9" s="8" t="s">
        <v>192</v>
      </c>
      <c r="H9" s="10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LibreOffice/26.2.6.1$Linux_X86_64 LibreOffice_project/620$Build-1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2026-10-12T20:25:00Z</dcterms:created>
  <dc:creator>openpyxl</dc:creator>
  <dc:description/>
  <dc:language>en-US</dc:language>
  <cp:lastModifiedBy/>
  <dcterms:modified xsi:type="dcterms:W3CDTF">2026-10-13T00:20:49Z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